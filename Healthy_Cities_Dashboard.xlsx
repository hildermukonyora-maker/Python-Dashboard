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 Data" sheetId="2" state="visible" r:id="rId2"/>
    <sheet name="Cleaned Data" sheetId="3" state="visible" r:id="rId3"/>
    <sheet name="Summary Stats" sheetId="4" state="visible" r:id="rId4"/>
    <sheet name="Correlations" sheetId="5" state="visible" r:id="rId5"/>
    <sheet name="Leader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  <font>
      <name val="Arial"/>
      <b val="1"/>
      <color rgb="001F6F5C"/>
      <sz val="16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b val="1"/>
      <color rgb="001F6F5C"/>
      <sz val="18"/>
    </font>
  </fonts>
  <fills count="4">
    <fill>
      <patternFill/>
    </fill>
    <fill>
      <patternFill patternType="gray125"/>
    </fill>
    <fill>
      <patternFill patternType="solid">
        <fgColor rgb="001F6F5C"/>
      </patternFill>
    </fill>
    <fill>
      <patternFill patternType="solid">
        <fgColor rgb="00EAF3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0" borderId="1" pivotButton="0" quotePrefix="0" xfId="0"/>
    <xf numFmtId="0" fontId="2" fillId="2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Top 15 Cities by Health Score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'Leaderboard'!C1</f>
            </strRef>
          </tx>
          <spPr>
            <a:ln>
              <a:prstDash val="solid"/>
            </a:ln>
          </spPr>
          <cat>
            <numRef>
              <f>'Leaderboard'!$B$2:$B$16</f>
            </numRef>
          </cat>
          <val>
            <numRef>
              <f>'Leaderboard'!$C$2:$C$16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Health 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Pollution vs. Life Expectancy</a:t>
            </a:r>
          </a:p>
        </rich>
      </tx>
    </title>
    <plotArea>
      <scatterChart>
        <ser>
          <idx val="0"/>
          <order val="0"/>
          <tx>
            <strRef>
              <f>'Cleaned Data'!F1</f>
            </strRef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'Cleaned Data'!$G$2:$G$45</f>
            </numRef>
          </xVal>
          <yVal>
            <numRef>
              <f>'Cleaned Data'!$F$2:$F$45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Pollution Index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Life Expectancy (yrs)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8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Data" displayName="RawData" ref="A1:L45" headerRowCount="1">
  <autoFilter ref="A1:L45"/>
  <tableColumns count="12">
    <tableColumn id="1" name="City"/>
    <tableColumn id="2" name="Rank"/>
    <tableColumn id="3" name="Sunshine hours(City)"/>
    <tableColumn id="4" name="Cost of a bottle of water(City)"/>
    <tableColumn id="5" name="Obesity levels(Country)"/>
    <tableColumn id="6" name="Life expectancy(years) (Country)"/>
    <tableColumn id="7" name="Pollution(Index score) (City)"/>
    <tableColumn id="8" name="Annual avg. hours worked"/>
    <tableColumn id="9" name="Happiness levels(Country)"/>
    <tableColumn id="10" name="Outdoor activities(City)"/>
    <tableColumn id="11" name="Number of take out places(City)"/>
    <tableColumn id="12" name="Cost of a monthly gym membership(City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eanedData" displayName="CleanedData" ref="A1:N45" headerRowCount="1">
  <autoFilter ref="A1:N45"/>
  <tableColumns count="14">
    <tableColumn id="1" name="city"/>
    <tableColumn id="2" name="rank_original"/>
    <tableColumn id="3" name="sunshine_hours"/>
    <tableColumn id="4" name="water_cost_gbp"/>
    <tableColumn id="5" name="obesity_pct"/>
    <tableColumn id="6" name="life_expectancy_years"/>
    <tableColumn id="7" name="pollution_index"/>
    <tableColumn id="8" name="annual_hours_worked"/>
    <tableColumn id="9" name="happiness_score"/>
    <tableColumn id="10" name="outdoor_activities_count"/>
    <tableColumn id="11" name="takeout_places_count"/>
    <tableColumn id="12" name="gym_membership_gbp"/>
    <tableColumn id="13" name="health_score"/>
    <tableColumn id="14" name="health_ran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eaderboard" displayName="Leaderboard" ref="A1:H45" headerRowCount="1">
  <autoFilter ref="A1:H45"/>
  <tableColumns count="8">
    <tableColumn id="1" name="health_rank"/>
    <tableColumn id="2" name="city"/>
    <tableColumn id="3" name="health_score"/>
    <tableColumn id="4" name="life_expectancy_years"/>
    <tableColumn id="5" name="happiness_score"/>
    <tableColumn id="6" name="obesity_pct"/>
    <tableColumn id="7" name="pollution_index"/>
    <tableColumn id="8" name="sunshine_h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001F6F5C"/>
    <outlinePr summaryBelow="1" summaryRight="1"/>
    <pageSetUpPr/>
  </sheetPr>
  <dimension ref="B2:K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2">
      <c r="B2" s="1" t="inlineStr">
        <is>
          <t>Healthy Lifestyle Cities 2021 — Analytics Dashboard</t>
        </is>
      </c>
    </row>
    <row r="3">
      <c r="B3" s="2" t="inlineStr">
        <is>
          <t>44 global cities · Source: Healthy Lifestyle Cities 2021 (Kaggle) · Composite Health Score = equal-weighted index (see README)</t>
        </is>
      </c>
    </row>
    <row r="5">
      <c r="B5" s="3" t="inlineStr">
        <is>
          <t>Cities Analyzed</t>
        </is>
      </c>
      <c r="C5" s="4" t="n"/>
      <c r="D5" s="3" t="inlineStr">
        <is>
          <t>Avg Health Score</t>
        </is>
      </c>
      <c r="E5" s="4" t="n"/>
      <c r="F5" s="3" t="inlineStr">
        <is>
          <t>Avg Life Expectancy</t>
        </is>
      </c>
      <c r="G5" s="4" t="n"/>
      <c r="H5" s="3" t="inlineStr">
        <is>
          <t>Top Ranked City</t>
        </is>
      </c>
      <c r="I5" s="4" t="n"/>
    </row>
    <row r="6">
      <c r="B6" s="5">
        <f>COUNTA(CleanedData[city])</f>
        <v/>
      </c>
      <c r="C6" s="4" t="n"/>
      <c r="D6" s="5">
        <f>ROUND(AVERAGE(CleanedData[health_score]),1)</f>
        <v/>
      </c>
      <c r="E6" s="4" t="n"/>
      <c r="F6" s="5">
        <f>ROUND(AVERAGE(CleanedData[life_expectancy_years]),1)</f>
        <v/>
      </c>
      <c r="G6" s="4" t="n"/>
      <c r="H6" s="5">
        <f>INDEX(CleanedData[city],MATCH(1,CleanedData[health_rank],0))</f>
        <v/>
      </c>
      <c r="I6" s="4" t="n"/>
    </row>
    <row r="7">
      <c r="B7" s="4" t="n"/>
      <c r="C7" s="4" t="n"/>
      <c r="D7" s="4" t="n"/>
      <c r="E7" s="4" t="n"/>
      <c r="F7" s="4" t="n"/>
      <c r="G7" s="4" t="n"/>
      <c r="H7" s="4" t="n"/>
      <c r="I7" s="4" t="n"/>
    </row>
  </sheetData>
  <mergeCells count="10">
    <mergeCell ref="H6:I7"/>
    <mergeCell ref="B5:C5"/>
    <mergeCell ref="F5:G5"/>
    <mergeCell ref="D5:E5"/>
    <mergeCell ref="D6:E7"/>
    <mergeCell ref="B6:C7"/>
    <mergeCell ref="H5:I5"/>
    <mergeCell ref="F6:G7"/>
    <mergeCell ref="B2:K2"/>
    <mergeCell ref="B3:K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32" customWidth="1" min="4" max="4"/>
    <col width="27" customWidth="1" min="5" max="5"/>
    <col width="32" customWidth="1" min="6" max="6"/>
    <col width="32" customWidth="1" min="7" max="7"/>
    <col width="28" customWidth="1" min="8" max="8"/>
    <col width="29" customWidth="1" min="9" max="9"/>
    <col width="28" customWidth="1" min="10" max="10"/>
    <col width="32" customWidth="1" min="11" max="11"/>
    <col width="32" customWidth="1" min="12" max="12"/>
  </cols>
  <sheetData>
    <row r="1">
      <c r="A1" s="6" t="inlineStr">
        <is>
          <t>City</t>
        </is>
      </c>
      <c r="B1" s="6" t="inlineStr">
        <is>
          <t>Rank</t>
        </is>
      </c>
      <c r="C1" s="6" t="inlineStr">
        <is>
          <t>Sunshine hours(City)</t>
        </is>
      </c>
      <c r="D1" s="6" t="inlineStr">
        <is>
          <t>Cost of a bottle of water(City)</t>
        </is>
      </c>
      <c r="E1" s="6" t="inlineStr">
        <is>
          <t>Obesity levels(Country)</t>
        </is>
      </c>
      <c r="F1" s="6" t="inlineStr">
        <is>
          <t>Life expectancy(years) (Country)</t>
        </is>
      </c>
      <c r="G1" s="6" t="inlineStr">
        <is>
          <t>Pollution(Index score) (City)</t>
        </is>
      </c>
      <c r="H1" s="6" t="inlineStr">
        <is>
          <t>Annual avg. hours worked</t>
        </is>
      </c>
      <c r="I1" s="6" t="inlineStr">
        <is>
          <t>Happiness levels(Country)</t>
        </is>
      </c>
      <c r="J1" s="6" t="inlineStr">
        <is>
          <t>Outdoor activities(City)</t>
        </is>
      </c>
      <c r="K1" s="6" t="inlineStr">
        <is>
          <t>Number of take out places(City)</t>
        </is>
      </c>
      <c r="L1" s="6" t="inlineStr">
        <is>
          <t>Cost of a monthly gym membership(City)</t>
        </is>
      </c>
    </row>
    <row r="2">
      <c r="A2" s="7" t="inlineStr">
        <is>
          <t>Amsterdam</t>
        </is>
      </c>
      <c r="B2" s="7" t="n">
        <v>1</v>
      </c>
      <c r="C2" s="7" t="inlineStr">
        <is>
          <t>1858</t>
        </is>
      </c>
      <c r="D2" s="7" t="inlineStr">
        <is>
          <t>£1.92</t>
        </is>
      </c>
      <c r="E2" s="7" t="inlineStr">
        <is>
          <t>20.40%</t>
        </is>
      </c>
      <c r="F2" s="7" t="n">
        <v>81.2</v>
      </c>
      <c r="G2" s="7" t="inlineStr">
        <is>
          <t>30.93</t>
        </is>
      </c>
      <c r="H2" s="7" t="inlineStr">
        <is>
          <t>1434</t>
        </is>
      </c>
      <c r="I2" s="7" t="n">
        <v>7.44</v>
      </c>
      <c r="J2" s="7" t="n">
        <v>422</v>
      </c>
      <c r="K2" s="7" t="n">
        <v>1048</v>
      </c>
      <c r="L2" s="7" t="inlineStr">
        <is>
          <t>£34.90</t>
        </is>
      </c>
    </row>
    <row r="3">
      <c r="A3" s="7" t="inlineStr">
        <is>
          <t>Sydney</t>
        </is>
      </c>
      <c r="B3" s="7" t="n">
        <v>2</v>
      </c>
      <c r="C3" s="7" t="inlineStr">
        <is>
          <t>2636</t>
        </is>
      </c>
      <c r="D3" s="7" t="inlineStr">
        <is>
          <t>£1.48</t>
        </is>
      </c>
      <c r="E3" s="7" t="inlineStr">
        <is>
          <t>29.00%</t>
        </is>
      </c>
      <c r="F3" s="7" t="n">
        <v>82.09999999999999</v>
      </c>
      <c r="G3" s="7" t="inlineStr">
        <is>
          <t>26.86</t>
        </is>
      </c>
      <c r="H3" s="7" t="inlineStr">
        <is>
          <t>1712</t>
        </is>
      </c>
      <c r="I3" s="7" t="n">
        <v>7.22</v>
      </c>
      <c r="J3" s="7" t="n">
        <v>406</v>
      </c>
      <c r="K3" s="7" t="n">
        <v>1103</v>
      </c>
      <c r="L3" s="7" t="inlineStr">
        <is>
          <t>£41.66</t>
        </is>
      </c>
    </row>
    <row r="4">
      <c r="A4" s="7" t="inlineStr">
        <is>
          <t>Vienna</t>
        </is>
      </c>
      <c r="B4" s="7" t="n">
        <v>3</v>
      </c>
      <c r="C4" s="7" t="inlineStr">
        <is>
          <t>1884</t>
        </is>
      </c>
      <c r="D4" s="7" t="inlineStr">
        <is>
          <t>£1.94</t>
        </is>
      </c>
      <c r="E4" s="7" t="inlineStr">
        <is>
          <t>20.10%</t>
        </is>
      </c>
      <c r="F4" s="7" t="n">
        <v>81</v>
      </c>
      <c r="G4" s="7" t="inlineStr">
        <is>
          <t>17.33</t>
        </is>
      </c>
      <c r="H4" s="7" t="inlineStr">
        <is>
          <t>1501</t>
        </is>
      </c>
      <c r="I4" s="7" t="n">
        <v>7.29</v>
      </c>
      <c r="J4" s="7" t="n">
        <v>132</v>
      </c>
      <c r="K4" s="7" t="n">
        <v>1008</v>
      </c>
      <c r="L4" s="7" t="inlineStr">
        <is>
          <t>£25.74</t>
        </is>
      </c>
    </row>
    <row r="5">
      <c r="A5" s="7" t="inlineStr">
        <is>
          <t>Stockholm</t>
        </is>
      </c>
      <c r="B5" s="7" t="n">
        <v>4</v>
      </c>
      <c r="C5" s="7" t="inlineStr">
        <is>
          <t>1821</t>
        </is>
      </c>
      <c r="D5" s="7" t="inlineStr">
        <is>
          <t>£1.72</t>
        </is>
      </c>
      <c r="E5" s="7" t="inlineStr">
        <is>
          <t>20.60%</t>
        </is>
      </c>
      <c r="F5" s="7" t="n">
        <v>81.8</v>
      </c>
      <c r="G5" s="7" t="inlineStr">
        <is>
          <t>19.63</t>
        </is>
      </c>
      <c r="H5" s="7" t="inlineStr">
        <is>
          <t>1452</t>
        </is>
      </c>
      <c r="I5" s="7" t="n">
        <v>7.35</v>
      </c>
      <c r="J5" s="7" t="n">
        <v>129</v>
      </c>
      <c r="K5" s="7" t="n">
        <v>598</v>
      </c>
      <c r="L5" s="7" t="inlineStr">
        <is>
          <t>£37.31</t>
        </is>
      </c>
    </row>
    <row r="6">
      <c r="A6" s="7" t="inlineStr">
        <is>
          <t>Copenhagen</t>
        </is>
      </c>
      <c r="B6" s="7" t="n">
        <v>5</v>
      </c>
      <c r="C6" s="7" t="inlineStr">
        <is>
          <t>1630</t>
        </is>
      </c>
      <c r="D6" s="7" t="inlineStr">
        <is>
          <t>£2.19</t>
        </is>
      </c>
      <c r="E6" s="7" t="inlineStr">
        <is>
          <t>19.70%</t>
        </is>
      </c>
      <c r="F6" s="7" t="n">
        <v>79.8</v>
      </c>
      <c r="G6" s="7" t="inlineStr">
        <is>
          <t>21.24</t>
        </is>
      </c>
      <c r="H6" s="7" t="inlineStr">
        <is>
          <t>1380</t>
        </is>
      </c>
      <c r="I6" s="7" t="n">
        <v>7.64</v>
      </c>
      <c r="J6" s="7" t="n">
        <v>154</v>
      </c>
      <c r="K6" s="7" t="n">
        <v>523</v>
      </c>
      <c r="L6" s="7" t="inlineStr">
        <is>
          <t>£32.53</t>
        </is>
      </c>
    </row>
    <row r="7">
      <c r="A7" s="7" t="inlineStr">
        <is>
          <t>Helsinki</t>
        </is>
      </c>
      <c r="B7" s="7" t="n">
        <v>6</v>
      </c>
      <c r="C7" s="7" t="inlineStr">
        <is>
          <t>1662</t>
        </is>
      </c>
      <c r="D7" s="7" t="inlineStr">
        <is>
          <t>£1.60</t>
        </is>
      </c>
      <c r="E7" s="7" t="inlineStr">
        <is>
          <t>22.20%</t>
        </is>
      </c>
      <c r="F7" s="7" t="n">
        <v>80.40000000000001</v>
      </c>
      <c r="G7" s="7" t="inlineStr">
        <is>
          <t>13.08</t>
        </is>
      </c>
      <c r="H7" s="7" t="inlineStr">
        <is>
          <t>1540</t>
        </is>
      </c>
      <c r="I7" s="7" t="n">
        <v>7.8</v>
      </c>
      <c r="J7" s="7" t="n">
        <v>113</v>
      </c>
      <c r="K7" s="7" t="n">
        <v>309</v>
      </c>
      <c r="L7" s="7" t="inlineStr">
        <is>
          <t>£35.23</t>
        </is>
      </c>
    </row>
    <row r="8">
      <c r="A8" s="7" t="inlineStr">
        <is>
          <t>Fukuoka</t>
        </is>
      </c>
      <c r="B8" s="7" t="n">
        <v>7</v>
      </c>
      <c r="C8" s="7" t="inlineStr">
        <is>
          <t>2769</t>
        </is>
      </c>
      <c r="D8" s="7" t="inlineStr">
        <is>
          <t>£0.78</t>
        </is>
      </c>
      <c r="E8" s="7" t="inlineStr">
        <is>
          <t>4.30%</t>
        </is>
      </c>
      <c r="F8" s="7" t="n">
        <v>83.2</v>
      </c>
      <c r="G8" s="7" t="inlineStr">
        <is>
          <t>-</t>
        </is>
      </c>
      <c r="H8" s="7" t="inlineStr">
        <is>
          <t>1644</t>
        </is>
      </c>
      <c r="I8" s="7" t="n">
        <v>5.87</v>
      </c>
      <c r="J8" s="7" t="n">
        <v>35</v>
      </c>
      <c r="K8" s="7" t="n">
        <v>539</v>
      </c>
      <c r="L8" s="7" t="inlineStr">
        <is>
          <t>£55.87</t>
        </is>
      </c>
    </row>
    <row r="9">
      <c r="A9" s="7" t="inlineStr">
        <is>
          <t>Berlin</t>
        </is>
      </c>
      <c r="B9" s="7" t="n">
        <v>8</v>
      </c>
      <c r="C9" s="7" t="inlineStr">
        <is>
          <t>1626</t>
        </is>
      </c>
      <c r="D9" s="7" t="inlineStr">
        <is>
          <t>£1.55</t>
        </is>
      </c>
      <c r="E9" s="7" t="inlineStr">
        <is>
          <t>22.30%</t>
        </is>
      </c>
      <c r="F9" s="7" t="n">
        <v>80.59999999999999</v>
      </c>
      <c r="G9" s="7" t="inlineStr">
        <is>
          <t>39.41</t>
        </is>
      </c>
      <c r="H9" s="7" t="inlineStr">
        <is>
          <t>1386</t>
        </is>
      </c>
      <c r="I9" s="7" t="n">
        <v>7.07</v>
      </c>
      <c r="J9" s="7" t="n">
        <v>254</v>
      </c>
      <c r="K9" s="7" t="n">
        <v>1729</v>
      </c>
      <c r="L9" s="7" t="inlineStr">
        <is>
          <t>£26.11</t>
        </is>
      </c>
    </row>
    <row r="10">
      <c r="A10" s="7" t="inlineStr">
        <is>
          <t>Barcelona</t>
        </is>
      </c>
      <c r="B10" s="7" t="n">
        <v>9</v>
      </c>
      <c r="C10" s="7" t="inlineStr">
        <is>
          <t>2591</t>
        </is>
      </c>
      <c r="D10" s="7" t="inlineStr">
        <is>
          <t>£1.19</t>
        </is>
      </c>
      <c r="E10" s="7" t="inlineStr">
        <is>
          <t>23.80%</t>
        </is>
      </c>
      <c r="F10" s="7" t="n">
        <v>82.2</v>
      </c>
      <c r="G10" s="7" t="inlineStr">
        <is>
          <t>65.19</t>
        </is>
      </c>
      <c r="H10" s="7" t="inlineStr">
        <is>
          <t>1686</t>
        </is>
      </c>
      <c r="I10" s="7" t="n">
        <v>6.4</v>
      </c>
      <c r="J10" s="7" t="n">
        <v>585</v>
      </c>
      <c r="K10" s="7" t="n">
        <v>2344</v>
      </c>
      <c r="L10" s="7" t="inlineStr">
        <is>
          <t>£37.80</t>
        </is>
      </c>
    </row>
    <row r="11">
      <c r="A11" s="7" t="inlineStr">
        <is>
          <t>Vancouver</t>
        </is>
      </c>
      <c r="B11" s="7" t="n">
        <v>10</v>
      </c>
      <c r="C11" s="7" t="inlineStr">
        <is>
          <t>1938</t>
        </is>
      </c>
      <c r="D11" s="7" t="inlineStr">
        <is>
          <t>£1.08</t>
        </is>
      </c>
      <c r="E11" s="7" t="inlineStr">
        <is>
          <t>29.40%</t>
        </is>
      </c>
      <c r="F11" s="7" t="n">
        <v>81.7</v>
      </c>
      <c r="G11" s="7" t="inlineStr">
        <is>
          <t>24.26</t>
        </is>
      </c>
      <c r="H11" s="7" t="inlineStr">
        <is>
          <t>1670</t>
        </is>
      </c>
      <c r="I11" s="7" t="n">
        <v>7.23</v>
      </c>
      <c r="J11" s="7" t="n">
        <v>218</v>
      </c>
      <c r="K11" s="7" t="n">
        <v>788</v>
      </c>
      <c r="L11" s="7" t="inlineStr">
        <is>
          <t>£31.04</t>
        </is>
      </c>
    </row>
    <row r="12">
      <c r="A12" s="7" t="inlineStr">
        <is>
          <t>Melbourne</t>
        </is>
      </c>
      <c r="B12" s="7" t="n">
        <v>11</v>
      </c>
      <c r="C12" s="7" t="inlineStr">
        <is>
          <t>2363</t>
        </is>
      </c>
      <c r="D12" s="7" t="inlineStr">
        <is>
          <t>£1.57</t>
        </is>
      </c>
      <c r="E12" s="7" t="inlineStr">
        <is>
          <t>29.00%</t>
        </is>
      </c>
      <c r="F12" s="7" t="n">
        <v>82.09999999999999</v>
      </c>
      <c r="G12" s="7" t="inlineStr">
        <is>
          <t>25.90</t>
        </is>
      </c>
      <c r="H12" s="7" t="inlineStr">
        <is>
          <t>1712</t>
        </is>
      </c>
      <c r="I12" s="7" t="n">
        <v>7.22</v>
      </c>
      <c r="J12" s="7" t="n">
        <v>243</v>
      </c>
      <c r="K12" s="7" t="n">
        <v>813</v>
      </c>
      <c r="L12" s="7" t="inlineStr">
        <is>
          <t>£36.89</t>
        </is>
      </c>
    </row>
    <row r="13">
      <c r="A13" s="7" t="inlineStr">
        <is>
          <t>Beijing</t>
        </is>
      </c>
      <c r="B13" s="7" t="n">
        <v>12</v>
      </c>
      <c r="C13" s="7" t="inlineStr">
        <is>
          <t>2671</t>
        </is>
      </c>
      <c r="D13" s="7" t="inlineStr">
        <is>
          <t>£0.26</t>
        </is>
      </c>
      <c r="E13" s="7" t="inlineStr">
        <is>
          <t>6.20%</t>
        </is>
      </c>
      <c r="F13" s="7" t="n">
        <v>75.40000000000001</v>
      </c>
      <c r="G13" s="7" t="inlineStr">
        <is>
          <t>85.43</t>
        </is>
      </c>
      <c r="H13" s="7" t="inlineStr">
        <is>
          <t>-</t>
        </is>
      </c>
      <c r="I13" s="7" t="n">
        <v>5.12</v>
      </c>
      <c r="J13" s="7" t="n">
        <v>223</v>
      </c>
      <c r="K13" s="7" t="n">
        <v>261</v>
      </c>
      <c r="L13" s="7" t="inlineStr">
        <is>
          <t>£38.62</t>
        </is>
      </c>
    </row>
    <row r="14">
      <c r="A14" s="7" t="inlineStr">
        <is>
          <t>Bangkok</t>
        </is>
      </c>
      <c r="B14" s="7" t="n">
        <v>13</v>
      </c>
      <c r="C14" s="7" t="inlineStr">
        <is>
          <t>2624</t>
        </is>
      </c>
      <c r="D14" s="7" t="inlineStr">
        <is>
          <t>£0.22</t>
        </is>
      </c>
      <c r="E14" s="7" t="inlineStr">
        <is>
          <t>10.00%</t>
        </is>
      </c>
      <c r="F14" s="7" t="n">
        <v>74.09999999999999</v>
      </c>
      <c r="G14" s="7" t="inlineStr">
        <is>
          <t>76.64</t>
        </is>
      </c>
      <c r="H14" s="7" t="inlineStr">
        <is>
          <t>-</t>
        </is>
      </c>
      <c r="I14" s="7" t="n">
        <v>5.99</v>
      </c>
      <c r="J14" s="7" t="n">
        <v>377</v>
      </c>
      <c r="K14" s="7" t="n">
        <v>1796</v>
      </c>
      <c r="L14" s="7" t="inlineStr">
        <is>
          <t>£50.03</t>
        </is>
      </c>
    </row>
    <row r="15">
      <c r="A15" s="7" t="inlineStr">
        <is>
          <t>Buenos Aires</t>
        </is>
      </c>
      <c r="B15" s="7" t="n">
        <v>14</v>
      </c>
      <c r="C15" s="7" t="inlineStr">
        <is>
          <t>2525</t>
        </is>
      </c>
      <c r="D15" s="7" t="inlineStr">
        <is>
          <t>£0.57</t>
        </is>
      </c>
      <c r="E15" s="7" t="inlineStr">
        <is>
          <t>28.30%</t>
        </is>
      </c>
      <c r="F15" s="7" t="n">
        <v>75.90000000000001</v>
      </c>
      <c r="G15" s="7" t="inlineStr">
        <is>
          <t>52.64</t>
        </is>
      </c>
      <c r="H15" s="7" t="inlineStr">
        <is>
          <t>-</t>
        </is>
      </c>
      <c r="I15" s="7" t="n">
        <v>5.97</v>
      </c>
      <c r="J15" s="7" t="n">
        <v>246</v>
      </c>
      <c r="K15" s="7" t="n">
        <v>1435</v>
      </c>
      <c r="L15" s="7" t="inlineStr">
        <is>
          <t>£22.45</t>
        </is>
      </c>
    </row>
    <row r="16">
      <c r="A16" s="7" t="inlineStr">
        <is>
          <t>Toronto</t>
        </is>
      </c>
      <c r="B16" s="7" t="n">
        <v>15</v>
      </c>
      <c r="C16" s="7" t="inlineStr">
        <is>
          <t>2066</t>
        </is>
      </c>
      <c r="D16" s="7" t="inlineStr">
        <is>
          <t>£1.09</t>
        </is>
      </c>
      <c r="E16" s="7" t="inlineStr">
        <is>
          <t>29.40%</t>
        </is>
      </c>
      <c r="F16" s="7" t="n">
        <v>81.7</v>
      </c>
      <c r="G16" s="7" t="inlineStr">
        <is>
          <t>37.83</t>
        </is>
      </c>
      <c r="H16" s="7" t="inlineStr">
        <is>
          <t>1670</t>
        </is>
      </c>
      <c r="I16" s="7" t="n">
        <v>7.23</v>
      </c>
      <c r="J16" s="7" t="n">
        <v>174</v>
      </c>
      <c r="K16" s="7" t="n">
        <v>1656</v>
      </c>
      <c r="L16" s="7" t="inlineStr">
        <is>
          <t>£32.64</t>
        </is>
      </c>
    </row>
    <row r="17">
      <c r="A17" s="7" t="inlineStr">
        <is>
          <t>Madrid</t>
        </is>
      </c>
      <c r="B17" s="7" t="n">
        <v>16</v>
      </c>
      <c r="C17" s="7" t="inlineStr">
        <is>
          <t>2769</t>
        </is>
      </c>
      <c r="D17" s="7" t="inlineStr">
        <is>
          <t>£1.30</t>
        </is>
      </c>
      <c r="E17" s="7" t="inlineStr">
        <is>
          <t>23.80%</t>
        </is>
      </c>
      <c r="F17" s="7" t="n">
        <v>82.2</v>
      </c>
      <c r="G17" s="7" t="inlineStr">
        <is>
          <t>52.68</t>
        </is>
      </c>
      <c r="H17" s="7" t="inlineStr">
        <is>
          <t>1686</t>
        </is>
      </c>
      <c r="I17" s="7" t="n">
        <v>6.4</v>
      </c>
      <c r="J17" s="7" t="n">
        <v>216</v>
      </c>
      <c r="K17" s="7" t="n">
        <v>2491</v>
      </c>
      <c r="L17" s="7" t="inlineStr">
        <is>
          <t>£34.54</t>
        </is>
      </c>
    </row>
    <row r="18">
      <c r="A18" s="7" t="inlineStr">
        <is>
          <t>Jakarta</t>
        </is>
      </c>
      <c r="B18" s="7" t="n">
        <v>17</v>
      </c>
      <c r="C18" s="7" t="inlineStr">
        <is>
          <t>2983</t>
        </is>
      </c>
      <c r="D18" s="7" t="inlineStr">
        <is>
          <t>£0.21</t>
        </is>
      </c>
      <c r="E18" s="7" t="inlineStr">
        <is>
          <t>6.90%</t>
        </is>
      </c>
      <c r="F18" s="7" t="n">
        <v>68.5</v>
      </c>
      <c r="G18" s="7" t="inlineStr">
        <is>
          <t>84.39</t>
        </is>
      </c>
      <c r="H18" s="7" t="inlineStr">
        <is>
          <t>-</t>
        </is>
      </c>
      <c r="I18" s="7" t="n">
        <v>5.28</v>
      </c>
      <c r="J18" s="7" t="n">
        <v>114</v>
      </c>
      <c r="K18" s="7" t="n">
        <v>833</v>
      </c>
      <c r="L18" s="7" t="inlineStr">
        <is>
          <t>£29.94</t>
        </is>
      </c>
    </row>
    <row r="19">
      <c r="A19" s="7" t="inlineStr">
        <is>
          <t>Seoul</t>
        </is>
      </c>
      <c r="B19" s="7" t="n">
        <v>18</v>
      </c>
      <c r="C19" s="7" t="inlineStr">
        <is>
          <t>2066</t>
        </is>
      </c>
      <c r="D19" s="7" t="inlineStr">
        <is>
          <t>£0.59</t>
        </is>
      </c>
      <c r="E19" s="7" t="inlineStr">
        <is>
          <t>4.70%</t>
        </is>
      </c>
      <c r="F19" s="7" t="n">
        <v>81.3</v>
      </c>
      <c r="G19" s="7" t="inlineStr">
        <is>
          <t>57.82</t>
        </is>
      </c>
      <c r="H19" s="7" t="inlineStr">
        <is>
          <t>1967</t>
        </is>
      </c>
      <c r="I19" s="7" t="n">
        <v>5.87</v>
      </c>
      <c r="J19" s="7" t="n">
        <v>144</v>
      </c>
      <c r="K19" s="7" t="n">
        <v>389</v>
      </c>
      <c r="L19" s="7" t="inlineStr">
        <is>
          <t>£43.03</t>
        </is>
      </c>
    </row>
    <row r="20">
      <c r="A20" s="7" t="inlineStr">
        <is>
          <t>Frankfurt</t>
        </is>
      </c>
      <c r="B20" s="7" t="n">
        <v>19</v>
      </c>
      <c r="C20" s="7" t="inlineStr">
        <is>
          <t>1662</t>
        </is>
      </c>
      <c r="D20" s="7" t="inlineStr">
        <is>
          <t>£1.95</t>
        </is>
      </c>
      <c r="E20" s="7" t="inlineStr">
        <is>
          <t>22.30%</t>
        </is>
      </c>
      <c r="F20" s="7" t="n">
        <v>80.59999999999999</v>
      </c>
      <c r="G20" s="7" t="inlineStr">
        <is>
          <t>37.78</t>
        </is>
      </c>
      <c r="H20" s="7" t="inlineStr">
        <is>
          <t>1386</t>
        </is>
      </c>
      <c r="I20" s="7" t="n">
        <v>7.07</v>
      </c>
      <c r="J20" s="7" t="n">
        <v>23</v>
      </c>
      <c r="K20" s="7" t="n">
        <v>551</v>
      </c>
      <c r="L20" s="7" t="inlineStr">
        <is>
          <t>£39.01</t>
        </is>
      </c>
    </row>
    <row r="21">
      <c r="A21" s="7" t="inlineStr">
        <is>
          <t>Geneva</t>
        </is>
      </c>
      <c r="B21" s="7" t="n">
        <v>20</v>
      </c>
      <c r="C21" s="7" t="inlineStr">
        <is>
          <t>-</t>
        </is>
      </c>
      <c r="D21" s="7" t="inlineStr">
        <is>
          <t>£2.62</t>
        </is>
      </c>
      <c r="E21" s="7" t="inlineStr">
        <is>
          <t>19.50%</t>
        </is>
      </c>
      <c r="F21" s="7" t="n">
        <v>82.59999999999999</v>
      </c>
      <c r="G21" s="7" t="inlineStr">
        <is>
          <t>27.25</t>
        </is>
      </c>
      <c r="H21" s="7" t="inlineStr">
        <is>
          <t>1557</t>
        </is>
      </c>
      <c r="I21" s="7" t="n">
        <v>7.56</v>
      </c>
      <c r="J21" s="7" t="n">
        <v>44</v>
      </c>
      <c r="K21" s="7" t="n">
        <v>444</v>
      </c>
      <c r="L21" s="7" t="inlineStr">
        <is>
          <t>£70.00</t>
        </is>
      </c>
    </row>
    <row r="22">
      <c r="A22" s="7" t="inlineStr">
        <is>
          <t>Tel Aviv</t>
        </is>
      </c>
      <c r="B22" s="7" t="n">
        <v>21</v>
      </c>
      <c r="C22" s="7" t="inlineStr">
        <is>
          <t>3311</t>
        </is>
      </c>
      <c r="D22" s="7" t="inlineStr">
        <is>
          <t>£1.63</t>
        </is>
      </c>
      <c r="E22" s="7" t="inlineStr">
        <is>
          <t>26.10%</t>
        </is>
      </c>
      <c r="F22" s="7" t="n">
        <v>81.90000000000001</v>
      </c>
      <c r="G22" s="7" t="inlineStr">
        <is>
          <t>47.28</t>
        </is>
      </c>
      <c r="H22" s="7" t="inlineStr">
        <is>
          <t>1898</t>
        </is>
      </c>
      <c r="I22" s="7" t="n">
        <v>7.12</v>
      </c>
      <c r="J22" s="7" t="n">
        <v>139</v>
      </c>
      <c r="K22" s="7" t="n">
        <v>420</v>
      </c>
      <c r="L22" s="7" t="inlineStr">
        <is>
          <t>£58.31</t>
        </is>
      </c>
    </row>
    <row r="23">
      <c r="A23" s="7" t="inlineStr">
        <is>
          <t>Istanbul</t>
        </is>
      </c>
      <c r="B23" s="7" t="n">
        <v>22</v>
      </c>
      <c r="C23" s="7" t="inlineStr">
        <is>
          <t>2218</t>
        </is>
      </c>
      <c r="D23" s="7" t="inlineStr">
        <is>
          <t>£0.15</t>
        </is>
      </c>
      <c r="E23" s="7" t="inlineStr">
        <is>
          <t>32.10%</t>
        </is>
      </c>
      <c r="F23" s="7" t="n">
        <v>74.7</v>
      </c>
      <c r="G23" s="7" t="inlineStr">
        <is>
          <t>69.49</t>
        </is>
      </c>
      <c r="H23" s="7" t="inlineStr">
        <is>
          <t>1832</t>
        </is>
      </c>
      <c r="I23" s="7" t="n">
        <v>5.13</v>
      </c>
      <c r="J23" s="7" t="n">
        <v>419</v>
      </c>
      <c r="K23" s="7" t="n">
        <v>934</v>
      </c>
      <c r="L23" s="7" t="inlineStr">
        <is>
          <t>£16.97</t>
        </is>
      </c>
    </row>
    <row r="24">
      <c r="A24" s="7" t="inlineStr">
        <is>
          <t>Cairo</t>
        </is>
      </c>
      <c r="B24" s="7" t="n">
        <v>23</v>
      </c>
      <c r="C24" s="7" t="inlineStr">
        <is>
          <t>3542</t>
        </is>
      </c>
      <c r="D24" s="7" t="inlineStr">
        <is>
          <t>£0.16</t>
        </is>
      </c>
      <c r="E24" s="7" t="inlineStr">
        <is>
          <t>32.00%</t>
        </is>
      </c>
      <c r="F24" s="7" t="n">
        <v>70.7</v>
      </c>
      <c r="G24" s="7" t="inlineStr">
        <is>
          <t>91.74</t>
        </is>
      </c>
      <c r="H24" s="7" t="inlineStr">
        <is>
          <t>-</t>
        </is>
      </c>
      <c r="I24" s="7" t="n">
        <v>4.15</v>
      </c>
      <c r="J24" s="7" t="n">
        <v>323</v>
      </c>
      <c r="K24" s="7" t="n">
        <v>250</v>
      </c>
      <c r="L24" s="7" t="inlineStr">
        <is>
          <t>£23.25</t>
        </is>
      </c>
    </row>
    <row r="25">
      <c r="A25" s="7" t="inlineStr">
        <is>
          <t>Taipei</t>
        </is>
      </c>
      <c r="B25" s="7" t="n">
        <v>24</v>
      </c>
      <c r="C25" s="7" t="inlineStr">
        <is>
          <t>1405</t>
        </is>
      </c>
      <c r="D25" s="7" t="inlineStr">
        <is>
          <t>£0.57</t>
        </is>
      </c>
      <c r="E25" s="7" t="inlineStr">
        <is>
          <t>6.20%</t>
        </is>
      </c>
      <c r="F25" s="7" t="n">
        <v>75.40000000000001</v>
      </c>
      <c r="G25" s="7" t="inlineStr">
        <is>
          <t>49.32</t>
        </is>
      </c>
      <c r="H25" s="7" t="inlineStr">
        <is>
          <t>-</t>
        </is>
      </c>
      <c r="I25" s="7" t="n">
        <v>5.12</v>
      </c>
      <c r="J25" s="7" t="n">
        <v>134</v>
      </c>
      <c r="K25" s="7" t="n">
        <v>717</v>
      </c>
      <c r="L25" s="7" t="inlineStr">
        <is>
          <t>£34.76</t>
        </is>
      </c>
    </row>
    <row r="26">
      <c r="A26" s="7" t="inlineStr">
        <is>
          <t>Los Angeles</t>
        </is>
      </c>
      <c r="B26" s="7" t="n">
        <v>25</v>
      </c>
      <c r="C26" s="7" t="inlineStr">
        <is>
          <t>3254</t>
        </is>
      </c>
      <c r="D26" s="7" t="inlineStr">
        <is>
          <t>£1.52</t>
        </is>
      </c>
      <c r="E26" s="7" t="inlineStr">
        <is>
          <t>36.20%</t>
        </is>
      </c>
      <c r="F26" s="7" t="n">
        <v>78.8</v>
      </c>
      <c r="G26" s="7" t="inlineStr">
        <is>
          <t>66.07</t>
        </is>
      </c>
      <c r="H26" s="7" t="inlineStr">
        <is>
          <t>1779</t>
        </is>
      </c>
      <c r="I26" s="7" t="n">
        <v>6.94</v>
      </c>
      <c r="J26" s="7" t="n">
        <v>223</v>
      </c>
      <c r="K26" s="7" t="n">
        <v>1439</v>
      </c>
      <c r="L26" s="7" t="inlineStr">
        <is>
          <t>£32.00</t>
        </is>
      </c>
    </row>
    <row r="27">
      <c r="A27" s="7" t="inlineStr">
        <is>
          <t>Mumbai</t>
        </is>
      </c>
      <c r="B27" s="7" t="n">
        <v>26</v>
      </c>
      <c r="C27" s="7" t="inlineStr">
        <is>
          <t>2584</t>
        </is>
      </c>
      <c r="D27" s="7" t="inlineStr">
        <is>
          <t>£0.15</t>
        </is>
      </c>
      <c r="E27" s="7" t="inlineStr">
        <is>
          <t>3.90%</t>
        </is>
      </c>
      <c r="F27" s="7" t="n">
        <v>67.3</v>
      </c>
      <c r="G27" s="7" t="inlineStr">
        <is>
          <t>82.84</t>
        </is>
      </c>
      <c r="H27" s="7" t="inlineStr">
        <is>
          <t>-</t>
        </is>
      </c>
      <c r="I27" s="7" t="n">
        <v>3.57</v>
      </c>
      <c r="J27" s="7" t="n">
        <v>187</v>
      </c>
      <c r="K27" s="7" t="n">
        <v>1183</v>
      </c>
      <c r="L27" s="7" t="inlineStr">
        <is>
          <t>£19.54</t>
        </is>
      </c>
    </row>
    <row r="28">
      <c r="A28" s="7" t="inlineStr">
        <is>
          <t>Boston</t>
        </is>
      </c>
      <c r="B28" s="7" t="n">
        <v>27</v>
      </c>
      <c r="C28" s="7" t="inlineStr">
        <is>
          <t>2634</t>
        </is>
      </c>
      <c r="D28" s="7" t="inlineStr">
        <is>
          <t>£1.39</t>
        </is>
      </c>
      <c r="E28" s="7" t="inlineStr">
        <is>
          <t>36.20%</t>
        </is>
      </c>
      <c r="F28" s="7" t="n">
        <v>78.8</v>
      </c>
      <c r="G28" s="7" t="inlineStr">
        <is>
          <t>27.03</t>
        </is>
      </c>
      <c r="H28" s="7" t="inlineStr">
        <is>
          <t>1779</t>
        </is>
      </c>
      <c r="I28" s="7" t="n">
        <v>6.94</v>
      </c>
      <c r="J28" s="7" t="n">
        <v>88</v>
      </c>
      <c r="K28" s="7" t="n">
        <v>588</v>
      </c>
      <c r="L28" s="7" t="inlineStr">
        <is>
          <t>£46.27</t>
        </is>
      </c>
    </row>
    <row r="29">
      <c r="A29" s="7" t="inlineStr">
        <is>
          <t>Dublin</t>
        </is>
      </c>
      <c r="B29" s="7" t="n">
        <v>28</v>
      </c>
      <c r="C29" s="7" t="inlineStr">
        <is>
          <t>1453</t>
        </is>
      </c>
      <c r="D29" s="7" t="inlineStr">
        <is>
          <t>£1.40</t>
        </is>
      </c>
      <c r="E29" s="7" t="inlineStr">
        <is>
          <t>25.30%</t>
        </is>
      </c>
      <c r="F29" s="7" t="n">
        <v>80.5</v>
      </c>
      <c r="G29" s="7" t="inlineStr">
        <is>
          <t>40.07</t>
        </is>
      </c>
      <c r="H29" s="7" t="inlineStr">
        <is>
          <t>1772</t>
        </is>
      </c>
      <c r="I29" s="7" t="n">
        <v>7.09</v>
      </c>
      <c r="J29" s="7" t="n">
        <v>159</v>
      </c>
      <c r="K29" s="7" t="n">
        <v>659</v>
      </c>
      <c r="L29" s="7" t="inlineStr">
        <is>
          <t>£37.35</t>
        </is>
      </c>
    </row>
    <row r="30">
      <c r="A30" s="7" t="inlineStr">
        <is>
          <t>Tokyo</t>
        </is>
      </c>
      <c r="B30" s="7" t="n">
        <v>29</v>
      </c>
      <c r="C30" s="7" t="inlineStr">
        <is>
          <t>1877</t>
        </is>
      </c>
      <c r="D30" s="7" t="inlineStr">
        <is>
          <t>£0.76</t>
        </is>
      </c>
      <c r="E30" s="7" t="inlineStr">
        <is>
          <t>4.30%</t>
        </is>
      </c>
      <c r="F30" s="7" t="n">
        <v>83.2</v>
      </c>
      <c r="G30" s="7" t="inlineStr">
        <is>
          <t>42.84</t>
        </is>
      </c>
      <c r="H30" s="7" t="inlineStr">
        <is>
          <t>1644</t>
        </is>
      </c>
      <c r="I30" s="7" t="n">
        <v>5.87</v>
      </c>
      <c r="J30" s="7" t="n">
        <v>387</v>
      </c>
      <c r="K30" s="7" t="n">
        <v>5802</v>
      </c>
      <c r="L30" s="7" t="inlineStr">
        <is>
          <t>£70.82</t>
        </is>
      </c>
    </row>
    <row r="31">
      <c r="A31" s="7" t="inlineStr">
        <is>
          <t>Chicago</t>
        </is>
      </c>
      <c r="B31" s="7" t="n">
        <v>30</v>
      </c>
      <c r="C31" s="7" t="inlineStr">
        <is>
          <t>2508</t>
        </is>
      </c>
      <c r="D31" s="7" t="inlineStr">
        <is>
          <t>£1.20</t>
        </is>
      </c>
      <c r="E31" s="7" t="inlineStr">
        <is>
          <t>36.20%</t>
        </is>
      </c>
      <c r="F31" s="7" t="n">
        <v>78.8</v>
      </c>
      <c r="G31" s="7" t="inlineStr">
        <is>
          <t>43.33</t>
        </is>
      </c>
      <c r="H31" s="7" t="inlineStr">
        <is>
          <t>1779</t>
        </is>
      </c>
      <c r="I31" s="7" t="n">
        <v>6.94</v>
      </c>
      <c r="J31" s="7" t="n">
        <v>171</v>
      </c>
      <c r="K31" s="7" t="n">
        <v>1320</v>
      </c>
      <c r="L31" s="7" t="inlineStr">
        <is>
          <t>£41.14</t>
        </is>
      </c>
    </row>
    <row r="32">
      <c r="A32" s="7" t="inlineStr">
        <is>
          <t>Hong Kong</t>
        </is>
      </c>
      <c r="B32" s="7" t="n">
        <v>31</v>
      </c>
      <c r="C32" s="7" t="inlineStr">
        <is>
          <t>1836</t>
        </is>
      </c>
      <c r="D32" s="7" t="inlineStr">
        <is>
          <t>£0.75</t>
        </is>
      </c>
      <c r="E32" s="7" t="inlineStr">
        <is>
          <t>6.20%</t>
        </is>
      </c>
      <c r="F32" s="7" t="n">
        <v>75.40000000000001</v>
      </c>
      <c r="G32" s="7" t="inlineStr">
        <is>
          <t>67.46</t>
        </is>
      </c>
      <c r="H32" s="7" t="inlineStr">
        <is>
          <t>-</t>
        </is>
      </c>
      <c r="I32" s="7" t="n">
        <v>5.51</v>
      </c>
      <c r="J32" s="7" t="n">
        <v>277</v>
      </c>
      <c r="K32" s="7" t="n">
        <v>1257</v>
      </c>
      <c r="L32" s="7" t="inlineStr">
        <is>
          <t>£57.95</t>
        </is>
      </c>
    </row>
    <row r="33">
      <c r="A33" s="7" t="inlineStr">
        <is>
          <t>Shanghai</t>
        </is>
      </c>
      <c r="B33" s="7" t="n">
        <v>32</v>
      </c>
      <c r="C33" s="7" t="inlineStr">
        <is>
          <t>1776</t>
        </is>
      </c>
      <c r="D33" s="7" t="inlineStr">
        <is>
          <t>£0.29</t>
        </is>
      </c>
      <c r="E33" s="7" t="inlineStr">
        <is>
          <t>6.20%</t>
        </is>
      </c>
      <c r="F33" s="7" t="n">
        <v>75.40000000000001</v>
      </c>
      <c r="G33" s="7" t="inlineStr">
        <is>
          <t>77.40</t>
        </is>
      </c>
      <c r="H33" s="7" t="inlineStr">
        <is>
          <t>-</t>
        </is>
      </c>
      <c r="I33" s="7" t="n">
        <v>5.12</v>
      </c>
      <c r="J33" s="7" t="n">
        <v>108</v>
      </c>
      <c r="K33" s="7" t="n">
        <v>346</v>
      </c>
      <c r="L33" s="7" t="inlineStr">
        <is>
          <t>£44.68</t>
        </is>
      </c>
    </row>
    <row r="34">
      <c r="A34" s="7" t="inlineStr">
        <is>
          <t>Brussels</t>
        </is>
      </c>
      <c r="B34" s="7" t="n">
        <v>33</v>
      </c>
      <c r="C34" s="7" t="inlineStr">
        <is>
          <t>1546</t>
        </is>
      </c>
      <c r="D34" s="7" t="inlineStr">
        <is>
          <t>£2.11</t>
        </is>
      </c>
      <c r="E34" s="7" t="inlineStr">
        <is>
          <t>22.10%</t>
        </is>
      </c>
      <c r="F34" s="7" t="n">
        <v>80.40000000000001</v>
      </c>
      <c r="G34" s="7" t="inlineStr">
        <is>
          <t>62.67</t>
        </is>
      </c>
      <c r="H34" s="7" t="inlineStr">
        <is>
          <t>1583</t>
        </is>
      </c>
      <c r="I34" s="7" t="n">
        <v>6.86</v>
      </c>
      <c r="J34" s="7" t="n">
        <v>55</v>
      </c>
      <c r="K34" s="7" t="n">
        <v>988</v>
      </c>
      <c r="L34" s="7" t="inlineStr">
        <is>
          <t>£25.34</t>
        </is>
      </c>
    </row>
    <row r="35">
      <c r="A35" s="7" t="inlineStr">
        <is>
          <t>San Francisco</t>
        </is>
      </c>
      <c r="B35" s="7" t="n">
        <v>34</v>
      </c>
      <c r="C35" s="7" t="inlineStr">
        <is>
          <t>3062</t>
        </is>
      </c>
      <c r="D35" s="7" t="inlineStr">
        <is>
          <t>£1.60</t>
        </is>
      </c>
      <c r="E35" s="7" t="inlineStr">
        <is>
          <t>36.20%</t>
        </is>
      </c>
      <c r="F35" s="7" t="n">
        <v>78.8</v>
      </c>
      <c r="G35" s="7" t="inlineStr">
        <is>
          <t>47.36</t>
        </is>
      </c>
      <c r="H35" s="7" t="inlineStr">
        <is>
          <t>1779</t>
        </is>
      </c>
      <c r="I35" s="7" t="n">
        <v>6.94</v>
      </c>
      <c r="J35" s="7" t="n">
        <v>242</v>
      </c>
      <c r="K35" s="7" t="n">
        <v>1031</v>
      </c>
      <c r="L35" s="7" t="inlineStr">
        <is>
          <t>£65.13</t>
        </is>
      </c>
    </row>
    <row r="36">
      <c r="A36" s="7" t="inlineStr">
        <is>
          <t>Paris</t>
        </is>
      </c>
      <c r="B36" s="7" t="n">
        <v>35</v>
      </c>
      <c r="C36" s="7" t="inlineStr">
        <is>
          <t>1662</t>
        </is>
      </c>
      <c r="D36" s="7" t="inlineStr">
        <is>
          <t>£1.95</t>
        </is>
      </c>
      <c r="E36" s="7" t="inlineStr">
        <is>
          <t>21.60%</t>
        </is>
      </c>
      <c r="F36" s="7" t="n">
        <v>81.8</v>
      </c>
      <c r="G36" s="7" t="inlineStr">
        <is>
          <t>65.10</t>
        </is>
      </c>
      <c r="H36" s="7" t="inlineStr">
        <is>
          <t>1505</t>
        </is>
      </c>
      <c r="I36" s="7" t="n">
        <v>6.66</v>
      </c>
      <c r="J36" s="7" t="n">
        <v>331</v>
      </c>
      <c r="K36" s="7" t="n">
        <v>4363</v>
      </c>
      <c r="L36" s="7" t="inlineStr">
        <is>
          <t>£35.93</t>
        </is>
      </c>
    </row>
    <row r="37">
      <c r="A37" s="7" t="inlineStr">
        <is>
          <t>Sao Paulo</t>
        </is>
      </c>
      <c r="B37" s="7" t="n">
        <v>36</v>
      </c>
      <c r="C37" s="7" t="inlineStr">
        <is>
          <t>2003</t>
        </is>
      </c>
      <c r="D37" s="7" t="inlineStr">
        <is>
          <t>£0.44</t>
        </is>
      </c>
      <c r="E37" s="7" t="inlineStr">
        <is>
          <t>22.10%</t>
        </is>
      </c>
      <c r="F37" s="7" t="n">
        <v>73.90000000000001</v>
      </c>
      <c r="G37" s="7" t="inlineStr">
        <is>
          <t>79.78</t>
        </is>
      </c>
      <c r="H37" s="7" t="inlineStr">
        <is>
          <t>-</t>
        </is>
      </c>
      <c r="I37" s="7" t="n">
        <v>6.37</v>
      </c>
      <c r="J37" s="7" t="n">
        <v>158</v>
      </c>
      <c r="K37" s="7" t="n">
        <v>3355</v>
      </c>
      <c r="L37" s="7" t="inlineStr">
        <is>
          <t>£16.07</t>
        </is>
      </c>
    </row>
    <row r="38">
      <c r="A38" s="7" t="inlineStr">
        <is>
          <t>Zurich</t>
        </is>
      </c>
      <c r="B38" s="7" t="n">
        <v>37</v>
      </c>
      <c r="C38" s="7" t="inlineStr">
        <is>
          <t>1566</t>
        </is>
      </c>
      <c r="D38" s="7" t="inlineStr">
        <is>
          <t>£3.20</t>
        </is>
      </c>
      <c r="E38" s="7" t="inlineStr">
        <is>
          <t>19.50%</t>
        </is>
      </c>
      <c r="F38" s="7" t="n">
        <v>82.59999999999999</v>
      </c>
      <c r="G38" s="7" t="inlineStr">
        <is>
          <t>17.31</t>
        </is>
      </c>
      <c r="H38" s="7" t="inlineStr">
        <is>
          <t>1557</t>
        </is>
      </c>
      <c r="I38" s="7" t="n">
        <v>7.56</v>
      </c>
      <c r="J38" s="7" t="n">
        <v>69</v>
      </c>
      <c r="K38" s="7" t="n">
        <v>538</v>
      </c>
      <c r="L38" s="7" t="inlineStr">
        <is>
          <t>£73.11</t>
        </is>
      </c>
    </row>
    <row r="39">
      <c r="A39" s="7" t="inlineStr">
        <is>
          <t>London</t>
        </is>
      </c>
      <c r="B39" s="7" t="n">
        <v>38</v>
      </c>
      <c r="C39" s="7" t="inlineStr">
        <is>
          <t>1633</t>
        </is>
      </c>
      <c r="D39" s="7" t="inlineStr">
        <is>
          <t>£1.16</t>
        </is>
      </c>
      <c r="E39" s="7" t="inlineStr">
        <is>
          <t>27.80%</t>
        </is>
      </c>
      <c r="F39" s="7" t="n">
        <v>80.40000000000001</v>
      </c>
      <c r="G39" s="7" t="inlineStr">
        <is>
          <t>58.91</t>
        </is>
      </c>
      <c r="H39" s="7" t="inlineStr">
        <is>
          <t>1538</t>
        </is>
      </c>
      <c r="I39" s="7" t="n">
        <v>7.16</v>
      </c>
      <c r="J39" s="7" t="n">
        <v>433</v>
      </c>
      <c r="K39" s="7" t="n">
        <v>6417</v>
      </c>
      <c r="L39" s="7" t="inlineStr">
        <is>
          <t>£42.71</t>
        </is>
      </c>
    </row>
    <row r="40">
      <c r="A40" s="7" t="inlineStr">
        <is>
          <t>Johannesburg</t>
        </is>
      </c>
      <c r="B40" s="7" t="n">
        <v>39</v>
      </c>
      <c r="C40" s="7" t="inlineStr">
        <is>
          <t>3124</t>
        </is>
      </c>
      <c r="D40" s="7" t="inlineStr">
        <is>
          <t>£0.59</t>
        </is>
      </c>
      <c r="E40" s="7" t="inlineStr">
        <is>
          <t>28.30%</t>
        </is>
      </c>
      <c r="F40" s="7" t="n">
        <v>56.3</v>
      </c>
      <c r="G40" s="7" t="inlineStr">
        <is>
          <t>61.83</t>
        </is>
      </c>
      <c r="H40" s="7" t="inlineStr">
        <is>
          <t>-</t>
        </is>
      </c>
      <c r="I40" s="7" t="n">
        <v>4.81</v>
      </c>
      <c r="J40" s="7" t="n">
        <v>194</v>
      </c>
      <c r="K40" s="7" t="n">
        <v>492</v>
      </c>
      <c r="L40" s="7" t="inlineStr">
        <is>
          <t>£24.28</t>
        </is>
      </c>
    </row>
    <row r="41">
      <c r="A41" s="7" t="inlineStr">
        <is>
          <t>Milan</t>
        </is>
      </c>
      <c r="B41" s="7" t="n">
        <v>40</v>
      </c>
      <c r="C41" s="7" t="inlineStr">
        <is>
          <t>1915</t>
        </is>
      </c>
      <c r="D41" s="7" t="inlineStr">
        <is>
          <t>£1.15</t>
        </is>
      </c>
      <c r="E41" s="7" t="inlineStr">
        <is>
          <t>19.90%</t>
        </is>
      </c>
      <c r="F41" s="7" t="n">
        <v>82.7</v>
      </c>
      <c r="G41" s="7" t="inlineStr">
        <is>
          <t>67.19</t>
        </is>
      </c>
      <c r="H41" s="7" t="inlineStr">
        <is>
          <t>1718</t>
        </is>
      </c>
      <c r="I41" s="7" t="n">
        <v>6.38</v>
      </c>
      <c r="J41" s="7" t="n">
        <v>110</v>
      </c>
      <c r="K41" s="7" t="n">
        <v>2396</v>
      </c>
      <c r="L41" s="7" t="inlineStr">
        <is>
          <t>£53.49</t>
        </is>
      </c>
    </row>
    <row r="42">
      <c r="A42" s="7" t="inlineStr">
        <is>
          <t>Washington, D.C.</t>
        </is>
      </c>
      <c r="B42" s="7" t="n">
        <v>41</v>
      </c>
      <c r="C42" s="7" t="inlineStr">
        <is>
          <t>2528</t>
        </is>
      </c>
      <c r="D42" s="7" t="inlineStr">
        <is>
          <t>£1.45</t>
        </is>
      </c>
      <c r="E42" s="7" t="inlineStr">
        <is>
          <t>36.20%</t>
        </is>
      </c>
      <c r="F42" s="7" t="n">
        <v>78.8</v>
      </c>
      <c r="G42" s="7" t="inlineStr">
        <is>
          <t>39.18</t>
        </is>
      </c>
      <c r="H42" s="7" t="inlineStr">
        <is>
          <t>1779</t>
        </is>
      </c>
      <c r="I42" s="7" t="n">
        <v>6.94</v>
      </c>
      <c r="J42" s="7" t="n">
        <v>83</v>
      </c>
      <c r="K42" s="7" t="n">
        <v>744</v>
      </c>
      <c r="L42" s="7" t="inlineStr">
        <is>
          <t>£65.99</t>
        </is>
      </c>
    </row>
    <row r="43">
      <c r="A43" s="7" t="inlineStr">
        <is>
          <t>New York</t>
        </is>
      </c>
      <c r="B43" s="7" t="n">
        <v>42</v>
      </c>
      <c r="C43" s="7" t="inlineStr">
        <is>
          <t>2535</t>
        </is>
      </c>
      <c r="D43" s="7" t="inlineStr">
        <is>
          <t>£1.32</t>
        </is>
      </c>
      <c r="E43" s="7" t="inlineStr">
        <is>
          <t>36.20%</t>
        </is>
      </c>
      <c r="F43" s="7" t="n">
        <v>78.8</v>
      </c>
      <c r="G43" s="7" t="inlineStr">
        <is>
          <t>57.36</t>
        </is>
      </c>
      <c r="H43" s="7" t="inlineStr">
        <is>
          <t>1779</t>
        </is>
      </c>
      <c r="I43" s="7" t="n">
        <v>6.94</v>
      </c>
      <c r="J43" s="7" t="n">
        <v>359</v>
      </c>
      <c r="K43" s="7" t="n">
        <v>3081</v>
      </c>
      <c r="L43" s="7" t="inlineStr">
        <is>
          <t>£64.66</t>
        </is>
      </c>
    </row>
    <row r="44">
      <c r="A44" s="7" t="inlineStr">
        <is>
          <t>Moscow</t>
        </is>
      </c>
      <c r="B44" s="7" t="n">
        <v>43</v>
      </c>
      <c r="C44" s="7" t="inlineStr">
        <is>
          <t>1901</t>
        </is>
      </c>
      <c r="D44" s="7" t="inlineStr">
        <is>
          <t>£0.41</t>
        </is>
      </c>
      <c r="E44" s="7" t="inlineStr">
        <is>
          <t>23.10%</t>
        </is>
      </c>
      <c r="F44" s="7" t="n">
        <v>69.5</v>
      </c>
      <c r="G44" s="7" t="inlineStr">
        <is>
          <t>57.63</t>
        </is>
      </c>
      <c r="H44" s="7" t="inlineStr">
        <is>
          <t>1965</t>
        </is>
      </c>
      <c r="I44" s="7" t="n">
        <v>5.54</v>
      </c>
      <c r="J44" s="7" t="n">
        <v>322</v>
      </c>
      <c r="K44" s="7" t="n">
        <v>3206</v>
      </c>
      <c r="L44" s="7" t="inlineStr">
        <is>
          <t>£31.40</t>
        </is>
      </c>
    </row>
    <row r="45">
      <c r="A45" s="7" t="inlineStr">
        <is>
          <t>Mexico City</t>
        </is>
      </c>
      <c r="B45" s="7" t="n">
        <v>44</v>
      </c>
      <c r="C45" s="7" t="inlineStr">
        <is>
          <t>2555</t>
        </is>
      </c>
      <c r="D45" s="7" t="inlineStr">
        <is>
          <t>£0.45</t>
        </is>
      </c>
      <c r="E45" s="7" t="inlineStr">
        <is>
          <t>28.90%</t>
        </is>
      </c>
      <c r="F45" s="7" t="n">
        <v>76.40000000000001</v>
      </c>
      <c r="G45" s="7" t="inlineStr">
        <is>
          <t>82.78</t>
        </is>
      </c>
      <c r="H45" s="7" t="inlineStr">
        <is>
          <t>2137</t>
        </is>
      </c>
      <c r="I45" s="7" t="n">
        <v>6.46</v>
      </c>
      <c r="J45" s="7" t="n">
        <v>192</v>
      </c>
      <c r="K45" s="7" t="n">
        <v>1313</v>
      </c>
      <c r="L45" s="7" t="inlineStr">
        <is>
          <t>£41.99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18" customWidth="1" min="4" max="4"/>
    <col width="15" customWidth="1" min="5" max="5"/>
    <col width="25" customWidth="1" min="6" max="6"/>
    <col width="19" customWidth="1" min="7" max="7"/>
    <col width="23" customWidth="1" min="8" max="8"/>
    <col width="19" customWidth="1" min="9" max="9"/>
    <col width="28" customWidth="1" min="10" max="10"/>
    <col width="24" customWidth="1" min="11" max="11"/>
    <col width="22" customWidth="1" min="12" max="12"/>
    <col width="16" customWidth="1" min="13" max="13"/>
    <col width="15" customWidth="1" min="14" max="14"/>
  </cols>
  <sheetData>
    <row r="1">
      <c r="A1" s="6" t="inlineStr">
        <is>
          <t>city</t>
        </is>
      </c>
      <c r="B1" s="6" t="inlineStr">
        <is>
          <t>rank_original</t>
        </is>
      </c>
      <c r="C1" s="6" t="inlineStr">
        <is>
          <t>sunshine_hours</t>
        </is>
      </c>
      <c r="D1" s="6" t="inlineStr">
        <is>
          <t>water_cost_gbp</t>
        </is>
      </c>
      <c r="E1" s="6" t="inlineStr">
        <is>
          <t>obesity_pct</t>
        </is>
      </c>
      <c r="F1" s="6" t="inlineStr">
        <is>
          <t>life_expectancy_years</t>
        </is>
      </c>
      <c r="G1" s="6" t="inlineStr">
        <is>
          <t>pollution_index</t>
        </is>
      </c>
      <c r="H1" s="6" t="inlineStr">
        <is>
          <t>annual_hours_worked</t>
        </is>
      </c>
      <c r="I1" s="6" t="inlineStr">
        <is>
          <t>happiness_score</t>
        </is>
      </c>
      <c r="J1" s="6" t="inlineStr">
        <is>
          <t>outdoor_activities_count</t>
        </is>
      </c>
      <c r="K1" s="6" t="inlineStr">
        <is>
          <t>takeout_places_count</t>
        </is>
      </c>
      <c r="L1" s="6" t="inlineStr">
        <is>
          <t>gym_membership_gbp</t>
        </is>
      </c>
      <c r="M1" s="6" t="inlineStr">
        <is>
          <t>health_score</t>
        </is>
      </c>
      <c r="N1" s="6" t="inlineStr">
        <is>
          <t>health_rank</t>
        </is>
      </c>
    </row>
    <row r="2">
      <c r="A2" s="7" t="inlineStr">
        <is>
          <t>Sydney</t>
        </is>
      </c>
      <c r="B2" s="7" t="n">
        <v>2</v>
      </c>
      <c r="C2" s="7" t="n">
        <v>2636</v>
      </c>
      <c r="D2" s="7" t="n">
        <v>1.48</v>
      </c>
      <c r="E2" s="7" t="n">
        <v>29</v>
      </c>
      <c r="F2" s="7" t="n">
        <v>82.09999999999999</v>
      </c>
      <c r="G2" s="7" t="n">
        <v>26.86</v>
      </c>
      <c r="H2" s="7" t="n">
        <v>1712</v>
      </c>
      <c r="I2" s="7" t="n">
        <v>7.22</v>
      </c>
      <c r="J2" s="7" t="n">
        <v>406</v>
      </c>
      <c r="K2" s="7" t="n">
        <v>1103</v>
      </c>
      <c r="L2" s="7" t="n">
        <v>41.66</v>
      </c>
      <c r="M2" s="7" t="n">
        <v>68.8</v>
      </c>
      <c r="N2" s="7" t="n">
        <v>1</v>
      </c>
    </row>
    <row r="3">
      <c r="A3" s="7" t="inlineStr">
        <is>
          <t>Amsterdam</t>
        </is>
      </c>
      <c r="B3" s="7" t="n">
        <v>1</v>
      </c>
      <c r="C3" s="7" t="n">
        <v>1858</v>
      </c>
      <c r="D3" s="7" t="n">
        <v>1.92</v>
      </c>
      <c r="E3" s="7" t="n">
        <v>20.4</v>
      </c>
      <c r="F3" s="7" t="n">
        <v>81.2</v>
      </c>
      <c r="G3" s="7" t="n">
        <v>30.93</v>
      </c>
      <c r="H3" s="7" t="n">
        <v>1434</v>
      </c>
      <c r="I3" s="7" t="n">
        <v>7.44</v>
      </c>
      <c r="J3" s="7" t="n">
        <v>422</v>
      </c>
      <c r="K3" s="7" t="n">
        <v>1048</v>
      </c>
      <c r="L3" s="7" t="n">
        <v>34.9</v>
      </c>
      <c r="M3" s="7" t="n">
        <v>67.09999999999999</v>
      </c>
      <c r="N3" s="7" t="n">
        <v>2</v>
      </c>
    </row>
    <row r="4">
      <c r="A4" s="7" t="inlineStr">
        <is>
          <t>Tokyo</t>
        </is>
      </c>
      <c r="B4" s="7" t="n">
        <v>29</v>
      </c>
      <c r="C4" s="7" t="n">
        <v>1877</v>
      </c>
      <c r="D4" s="7" t="n">
        <v>0.76</v>
      </c>
      <c r="E4" s="7" t="n">
        <v>4.3</v>
      </c>
      <c r="F4" s="7" t="n">
        <v>83.2</v>
      </c>
      <c r="G4" s="7" t="n">
        <v>42.84</v>
      </c>
      <c r="H4" s="7" t="n">
        <v>1644</v>
      </c>
      <c r="I4" s="7" t="n">
        <v>5.87</v>
      </c>
      <c r="J4" s="7" t="n">
        <v>387</v>
      </c>
      <c r="K4" s="7" t="n">
        <v>5802</v>
      </c>
      <c r="L4" s="7" t="n">
        <v>70.81999999999999</v>
      </c>
      <c r="M4" s="7" t="n">
        <v>67</v>
      </c>
      <c r="N4" s="7" t="n">
        <v>3</v>
      </c>
    </row>
    <row r="5">
      <c r="A5" s="7" t="inlineStr">
        <is>
          <t>Barcelona</t>
        </is>
      </c>
      <c r="B5" s="7" t="n">
        <v>9</v>
      </c>
      <c r="C5" s="7" t="n">
        <v>2591</v>
      </c>
      <c r="D5" s="7" t="n">
        <v>1.19</v>
      </c>
      <c r="E5" s="7" t="n">
        <v>23.8</v>
      </c>
      <c r="F5" s="7" t="n">
        <v>82.2</v>
      </c>
      <c r="G5" s="7" t="n">
        <v>65.19</v>
      </c>
      <c r="H5" s="7" t="n">
        <v>1686</v>
      </c>
      <c r="I5" s="7" t="n">
        <v>6.4</v>
      </c>
      <c r="J5" s="7" t="n">
        <v>585</v>
      </c>
      <c r="K5" s="7" t="n">
        <v>2344</v>
      </c>
      <c r="L5" s="7" t="n">
        <v>37.8</v>
      </c>
      <c r="M5" s="7" t="n">
        <v>65.09999999999999</v>
      </c>
      <c r="N5" s="7" t="n">
        <v>4</v>
      </c>
    </row>
    <row r="6">
      <c r="A6" s="7" t="inlineStr">
        <is>
          <t>Tel Aviv</t>
        </is>
      </c>
      <c r="B6" s="7" t="n">
        <v>21</v>
      </c>
      <c r="C6" s="7" t="n">
        <v>3311</v>
      </c>
      <c r="D6" s="7" t="n">
        <v>1.63</v>
      </c>
      <c r="E6" s="7" t="n">
        <v>26.1</v>
      </c>
      <c r="F6" s="7" t="n">
        <v>81.90000000000001</v>
      </c>
      <c r="G6" s="7" t="n">
        <v>47.28</v>
      </c>
      <c r="H6" s="7" t="n">
        <v>1898</v>
      </c>
      <c r="I6" s="7" t="n">
        <v>7.12</v>
      </c>
      <c r="J6" s="7" t="n">
        <v>139</v>
      </c>
      <c r="K6" s="7" t="n">
        <v>420</v>
      </c>
      <c r="L6" s="7" t="n">
        <v>58.31</v>
      </c>
      <c r="M6" s="7" t="n">
        <v>62.8</v>
      </c>
      <c r="N6" s="7" t="n">
        <v>5</v>
      </c>
    </row>
    <row r="7">
      <c r="A7" s="7" t="inlineStr">
        <is>
          <t>Melbourne</t>
        </is>
      </c>
      <c r="B7" s="7" t="n">
        <v>11</v>
      </c>
      <c r="C7" s="7" t="n">
        <v>2363</v>
      </c>
      <c r="D7" s="7" t="n">
        <v>1.57</v>
      </c>
      <c r="E7" s="7" t="n">
        <v>29</v>
      </c>
      <c r="F7" s="7" t="n">
        <v>82.09999999999999</v>
      </c>
      <c r="G7" s="7" t="n">
        <v>25.9</v>
      </c>
      <c r="H7" s="7" t="n">
        <v>1712</v>
      </c>
      <c r="I7" s="7" t="n">
        <v>7.22</v>
      </c>
      <c r="J7" s="7" t="n">
        <v>243</v>
      </c>
      <c r="K7" s="7" t="n">
        <v>813</v>
      </c>
      <c r="L7" s="7" t="n">
        <v>36.89</v>
      </c>
      <c r="M7" s="7" t="n">
        <v>62</v>
      </c>
      <c r="N7" s="7" t="n">
        <v>6</v>
      </c>
    </row>
    <row r="8">
      <c r="A8" s="7" t="inlineStr">
        <is>
          <t>Fukuoka</t>
        </is>
      </c>
      <c r="B8" s="7" t="n">
        <v>7</v>
      </c>
      <c r="C8" s="7" t="n">
        <v>2769</v>
      </c>
      <c r="D8" s="7" t="n">
        <v>0.78</v>
      </c>
      <c r="E8" s="7" t="n">
        <v>4.3</v>
      </c>
      <c r="F8" s="7" t="n">
        <v>83.2</v>
      </c>
      <c r="G8" s="7" t="n">
        <v>52.64</v>
      </c>
      <c r="H8" s="7" t="n">
        <v>1644</v>
      </c>
      <c r="I8" s="7" t="n">
        <v>5.87</v>
      </c>
      <c r="J8" s="7" t="n">
        <v>35</v>
      </c>
      <c r="K8" s="7" t="n">
        <v>539</v>
      </c>
      <c r="L8" s="7" t="n">
        <v>55.87</v>
      </c>
      <c r="M8" s="7" t="n">
        <v>61.5</v>
      </c>
      <c r="N8" s="7" t="n">
        <v>7</v>
      </c>
    </row>
    <row r="9">
      <c r="A9" s="7" t="inlineStr">
        <is>
          <t>Vienna</t>
        </is>
      </c>
      <c r="B9" s="7" t="n">
        <v>3</v>
      </c>
      <c r="C9" s="7" t="n">
        <v>1884</v>
      </c>
      <c r="D9" s="7" t="n">
        <v>1.94</v>
      </c>
      <c r="E9" s="7" t="n">
        <v>20.1</v>
      </c>
      <c r="F9" s="7" t="n">
        <v>81</v>
      </c>
      <c r="G9" s="7" t="n">
        <v>17.33</v>
      </c>
      <c r="H9" s="7" t="n">
        <v>1501</v>
      </c>
      <c r="I9" s="7" t="n">
        <v>7.29</v>
      </c>
      <c r="J9" s="7" t="n">
        <v>132</v>
      </c>
      <c r="K9" s="7" t="n">
        <v>1008</v>
      </c>
      <c r="L9" s="7" t="n">
        <v>25.74</v>
      </c>
      <c r="M9" s="7" t="n">
        <v>61</v>
      </c>
      <c r="N9" s="7" t="n">
        <v>8</v>
      </c>
    </row>
    <row r="10">
      <c r="A10" s="7" t="inlineStr">
        <is>
          <t>Stockholm</t>
        </is>
      </c>
      <c r="B10" s="7" t="n">
        <v>4</v>
      </c>
      <c r="C10" s="7" t="n">
        <v>1821</v>
      </c>
      <c r="D10" s="7" t="n">
        <v>1.72</v>
      </c>
      <c r="E10" s="7" t="n">
        <v>20.6</v>
      </c>
      <c r="F10" s="7" t="n">
        <v>81.8</v>
      </c>
      <c r="G10" s="7" t="n">
        <v>19.63</v>
      </c>
      <c r="H10" s="7" t="n">
        <v>1452</v>
      </c>
      <c r="I10" s="7" t="n">
        <v>7.35</v>
      </c>
      <c r="J10" s="7" t="n">
        <v>129</v>
      </c>
      <c r="K10" s="7" t="n">
        <v>598</v>
      </c>
      <c r="L10" s="7" t="n">
        <v>37.31</v>
      </c>
      <c r="M10" s="7" t="n">
        <v>60.4</v>
      </c>
      <c r="N10" s="7" t="n">
        <v>9</v>
      </c>
    </row>
    <row r="11">
      <c r="A11" s="7" t="inlineStr">
        <is>
          <t>Helsinki</t>
        </is>
      </c>
      <c r="B11" s="7" t="n">
        <v>6</v>
      </c>
      <c r="C11" s="7" t="n">
        <v>1662</v>
      </c>
      <c r="D11" s="7" t="n">
        <v>1.6</v>
      </c>
      <c r="E11" s="7" t="n">
        <v>22.2</v>
      </c>
      <c r="F11" s="7" t="n">
        <v>80.40000000000001</v>
      </c>
      <c r="G11" s="7" t="n">
        <v>13.08</v>
      </c>
      <c r="H11" s="7" t="n">
        <v>1540</v>
      </c>
      <c r="I11" s="7" t="n">
        <v>7.8</v>
      </c>
      <c r="J11" s="7" t="n">
        <v>113</v>
      </c>
      <c r="K11" s="7" t="n">
        <v>309</v>
      </c>
      <c r="L11" s="7" t="n">
        <v>35.23</v>
      </c>
      <c r="M11" s="7" t="n">
        <v>60.2</v>
      </c>
      <c r="N11" s="7" t="n">
        <v>10</v>
      </c>
    </row>
    <row r="12">
      <c r="A12" s="7" t="inlineStr">
        <is>
          <t>Geneva</t>
        </is>
      </c>
      <c r="B12" s="7" t="n">
        <v>20</v>
      </c>
      <c r="C12" s="7" t="n">
        <v>2066</v>
      </c>
      <c r="D12" s="7" t="n">
        <v>2.62</v>
      </c>
      <c r="E12" s="7" t="n">
        <v>19.5</v>
      </c>
      <c r="F12" s="7" t="n">
        <v>82.59999999999999</v>
      </c>
      <c r="G12" s="7" t="n">
        <v>27.25</v>
      </c>
      <c r="H12" s="7" t="n">
        <v>1557</v>
      </c>
      <c r="I12" s="7" t="n">
        <v>7.56</v>
      </c>
      <c r="J12" s="7" t="n">
        <v>44</v>
      </c>
      <c r="K12" s="7" t="n">
        <v>444</v>
      </c>
      <c r="L12" s="7" t="n">
        <v>70</v>
      </c>
      <c r="M12" s="7" t="n">
        <v>60.1</v>
      </c>
      <c r="N12" s="7" t="n">
        <v>11</v>
      </c>
    </row>
    <row r="13">
      <c r="A13" s="7" t="inlineStr">
        <is>
          <t>Copenhagen</t>
        </is>
      </c>
      <c r="B13" s="7" t="n">
        <v>5</v>
      </c>
      <c r="C13" s="7" t="n">
        <v>1630</v>
      </c>
      <c r="D13" s="7" t="n">
        <v>2.19</v>
      </c>
      <c r="E13" s="7" t="n">
        <v>19.7</v>
      </c>
      <c r="F13" s="7" t="n">
        <v>79.8</v>
      </c>
      <c r="G13" s="7" t="n">
        <v>21.24</v>
      </c>
      <c r="H13" s="7" t="n">
        <v>1380</v>
      </c>
      <c r="I13" s="7" t="n">
        <v>7.64</v>
      </c>
      <c r="J13" s="7" t="n">
        <v>154</v>
      </c>
      <c r="K13" s="7" t="n">
        <v>523</v>
      </c>
      <c r="L13" s="7" t="n">
        <v>32.53</v>
      </c>
      <c r="M13" s="7" t="n">
        <v>59.7</v>
      </c>
      <c r="N13" s="7" t="n">
        <v>12</v>
      </c>
    </row>
    <row r="14">
      <c r="A14" s="7" t="inlineStr">
        <is>
          <t>Zurich</t>
        </is>
      </c>
      <c r="B14" s="7" t="n">
        <v>37</v>
      </c>
      <c r="C14" s="7" t="n">
        <v>1566</v>
      </c>
      <c r="D14" s="7" t="n">
        <v>3.2</v>
      </c>
      <c r="E14" s="7" t="n">
        <v>19.5</v>
      </c>
      <c r="F14" s="7" t="n">
        <v>82.59999999999999</v>
      </c>
      <c r="G14" s="7" t="n">
        <v>17.31</v>
      </c>
      <c r="H14" s="7" t="n">
        <v>1557</v>
      </c>
      <c r="I14" s="7" t="n">
        <v>7.56</v>
      </c>
      <c r="J14" s="7" t="n">
        <v>69</v>
      </c>
      <c r="K14" s="7" t="n">
        <v>538</v>
      </c>
      <c r="L14" s="7" t="n">
        <v>73.11</v>
      </c>
      <c r="M14" s="7" t="n">
        <v>59</v>
      </c>
      <c r="N14" s="7" t="n">
        <v>13</v>
      </c>
    </row>
    <row r="15">
      <c r="A15" s="7" t="inlineStr">
        <is>
          <t>Madrid</t>
        </is>
      </c>
      <c r="B15" s="7" t="n">
        <v>16</v>
      </c>
      <c r="C15" s="7" t="n">
        <v>2769</v>
      </c>
      <c r="D15" s="7" t="n">
        <v>1.3</v>
      </c>
      <c r="E15" s="7" t="n">
        <v>23.8</v>
      </c>
      <c r="F15" s="7" t="n">
        <v>82.2</v>
      </c>
      <c r="G15" s="7" t="n">
        <v>52.68</v>
      </c>
      <c r="H15" s="7" t="n">
        <v>1686</v>
      </c>
      <c r="I15" s="7" t="n">
        <v>6.4</v>
      </c>
      <c r="J15" s="7" t="n">
        <v>216</v>
      </c>
      <c r="K15" s="7" t="n">
        <v>2491</v>
      </c>
      <c r="L15" s="7" t="n">
        <v>34.54</v>
      </c>
      <c r="M15" s="7" t="n">
        <v>58.2</v>
      </c>
      <c r="N15" s="7" t="n">
        <v>14</v>
      </c>
    </row>
    <row r="16">
      <c r="A16" s="7" t="inlineStr">
        <is>
          <t>Vancouver</t>
        </is>
      </c>
      <c r="B16" s="7" t="n">
        <v>10</v>
      </c>
      <c r="C16" s="7" t="n">
        <v>1938</v>
      </c>
      <c r="D16" s="7" t="n">
        <v>1.08</v>
      </c>
      <c r="E16" s="7" t="n">
        <v>29.4</v>
      </c>
      <c r="F16" s="7" t="n">
        <v>81.7</v>
      </c>
      <c r="G16" s="7" t="n">
        <v>24.26</v>
      </c>
      <c r="H16" s="7" t="n">
        <v>1670</v>
      </c>
      <c r="I16" s="7" t="n">
        <v>7.23</v>
      </c>
      <c r="J16" s="7" t="n">
        <v>218</v>
      </c>
      <c r="K16" s="7" t="n">
        <v>788</v>
      </c>
      <c r="L16" s="7" t="n">
        <v>31.04</v>
      </c>
      <c r="M16" s="7" t="n">
        <v>57.9</v>
      </c>
      <c r="N16" s="7" t="n">
        <v>15</v>
      </c>
    </row>
    <row r="17">
      <c r="A17" s="7" t="inlineStr">
        <is>
          <t>Bangkok</t>
        </is>
      </c>
      <c r="B17" s="7" t="n">
        <v>13</v>
      </c>
      <c r="C17" s="7" t="n">
        <v>2624</v>
      </c>
      <c r="D17" s="7" t="n">
        <v>0.22</v>
      </c>
      <c r="E17" s="7" t="n">
        <v>10</v>
      </c>
      <c r="F17" s="7" t="n">
        <v>74.09999999999999</v>
      </c>
      <c r="G17" s="7" t="n">
        <v>76.64</v>
      </c>
      <c r="H17" s="7" t="n">
        <v>1686</v>
      </c>
      <c r="I17" s="7" t="n">
        <v>5.99</v>
      </c>
      <c r="J17" s="7" t="n">
        <v>377</v>
      </c>
      <c r="K17" s="7" t="n">
        <v>1796</v>
      </c>
      <c r="L17" s="7" t="n">
        <v>50.03</v>
      </c>
      <c r="M17" s="7" t="n">
        <v>57.3</v>
      </c>
      <c r="N17" s="7" t="n">
        <v>16</v>
      </c>
    </row>
    <row r="18">
      <c r="A18" s="7" t="inlineStr">
        <is>
          <t>Seoul</t>
        </is>
      </c>
      <c r="B18" s="7" t="n">
        <v>18</v>
      </c>
      <c r="C18" s="7" t="n">
        <v>2066</v>
      </c>
      <c r="D18" s="7" t="n">
        <v>0.59</v>
      </c>
      <c r="E18" s="7" t="n">
        <v>4.7</v>
      </c>
      <c r="F18" s="7" t="n">
        <v>81.3</v>
      </c>
      <c r="G18" s="7" t="n">
        <v>57.82</v>
      </c>
      <c r="H18" s="7" t="n">
        <v>1967</v>
      </c>
      <c r="I18" s="7" t="n">
        <v>5.87</v>
      </c>
      <c r="J18" s="7" t="n">
        <v>144</v>
      </c>
      <c r="K18" s="7" t="n">
        <v>389</v>
      </c>
      <c r="L18" s="7" t="n">
        <v>43.03</v>
      </c>
      <c r="M18" s="7" t="n">
        <v>56.7</v>
      </c>
      <c r="N18" s="7" t="n">
        <v>17</v>
      </c>
    </row>
    <row r="19">
      <c r="A19" s="7" t="inlineStr">
        <is>
          <t>San Francisco</t>
        </is>
      </c>
      <c r="B19" s="7" t="n">
        <v>34</v>
      </c>
      <c r="C19" s="7" t="n">
        <v>3062</v>
      </c>
      <c r="D19" s="7" t="n">
        <v>1.6</v>
      </c>
      <c r="E19" s="7" t="n">
        <v>36.2</v>
      </c>
      <c r="F19" s="7" t="n">
        <v>78.8</v>
      </c>
      <c r="G19" s="7" t="n">
        <v>47.36</v>
      </c>
      <c r="H19" s="7" t="n">
        <v>1779</v>
      </c>
      <c r="I19" s="7" t="n">
        <v>6.94</v>
      </c>
      <c r="J19" s="7" t="n">
        <v>242</v>
      </c>
      <c r="K19" s="7" t="n">
        <v>1031</v>
      </c>
      <c r="L19" s="7" t="n">
        <v>65.13</v>
      </c>
      <c r="M19" s="7" t="n">
        <v>56</v>
      </c>
      <c r="N19" s="7" t="n">
        <v>18</v>
      </c>
    </row>
    <row r="20">
      <c r="A20" s="7" t="inlineStr">
        <is>
          <t>Berlin</t>
        </is>
      </c>
      <c r="B20" s="7" t="n">
        <v>8</v>
      </c>
      <c r="C20" s="7" t="n">
        <v>1626</v>
      </c>
      <c r="D20" s="7" t="n">
        <v>1.55</v>
      </c>
      <c r="E20" s="7" t="n">
        <v>22.3</v>
      </c>
      <c r="F20" s="7" t="n">
        <v>80.59999999999999</v>
      </c>
      <c r="G20" s="7" t="n">
        <v>39.41</v>
      </c>
      <c r="H20" s="7" t="n">
        <v>1386</v>
      </c>
      <c r="I20" s="7" t="n">
        <v>7.07</v>
      </c>
      <c r="J20" s="7" t="n">
        <v>254</v>
      </c>
      <c r="K20" s="7" t="n">
        <v>1729</v>
      </c>
      <c r="L20" s="7" t="n">
        <v>26.11</v>
      </c>
      <c r="M20" s="7" t="n">
        <v>55.7</v>
      </c>
      <c r="N20" s="7" t="n">
        <v>19</v>
      </c>
    </row>
    <row r="21">
      <c r="A21" s="7" t="inlineStr">
        <is>
          <t>Toronto</t>
        </is>
      </c>
      <c r="B21" s="7" t="n">
        <v>15</v>
      </c>
      <c r="C21" s="7" t="n">
        <v>2066</v>
      </c>
      <c r="D21" s="7" t="n">
        <v>1.09</v>
      </c>
      <c r="E21" s="7" t="n">
        <v>29.4</v>
      </c>
      <c r="F21" s="7" t="n">
        <v>81.7</v>
      </c>
      <c r="G21" s="7" t="n">
        <v>37.83</v>
      </c>
      <c r="H21" s="7" t="n">
        <v>1670</v>
      </c>
      <c r="I21" s="7" t="n">
        <v>7.23</v>
      </c>
      <c r="J21" s="7" t="n">
        <v>174</v>
      </c>
      <c r="K21" s="7" t="n">
        <v>1656</v>
      </c>
      <c r="L21" s="7" t="n">
        <v>32.64</v>
      </c>
      <c r="M21" s="7" t="n">
        <v>54.7</v>
      </c>
      <c r="N21" s="7" t="n">
        <v>20</v>
      </c>
    </row>
    <row r="22">
      <c r="A22" s="7" t="inlineStr">
        <is>
          <t>London</t>
        </is>
      </c>
      <c r="B22" s="7" t="n">
        <v>38</v>
      </c>
      <c r="C22" s="7" t="n">
        <v>1633</v>
      </c>
      <c r="D22" s="7" t="n">
        <v>1.16</v>
      </c>
      <c r="E22" s="7" t="n">
        <v>27.8</v>
      </c>
      <c r="F22" s="7" t="n">
        <v>80.40000000000001</v>
      </c>
      <c r="G22" s="7" t="n">
        <v>58.91</v>
      </c>
      <c r="H22" s="7" t="n">
        <v>1538</v>
      </c>
      <c r="I22" s="7" t="n">
        <v>7.16</v>
      </c>
      <c r="J22" s="7" t="n">
        <v>433</v>
      </c>
      <c r="K22" s="7" t="n">
        <v>6417</v>
      </c>
      <c r="L22" s="7" t="n">
        <v>42.71</v>
      </c>
      <c r="M22" s="7" t="n">
        <v>54.3</v>
      </c>
      <c r="N22" s="7" t="n">
        <v>21</v>
      </c>
    </row>
    <row r="23">
      <c r="A23" s="7" t="inlineStr">
        <is>
          <t>New York</t>
        </is>
      </c>
      <c r="B23" s="7" t="n">
        <v>42</v>
      </c>
      <c r="C23" s="7" t="n">
        <v>2535</v>
      </c>
      <c r="D23" s="7" t="n">
        <v>1.32</v>
      </c>
      <c r="E23" s="7" t="n">
        <v>36.2</v>
      </c>
      <c r="F23" s="7" t="n">
        <v>78.8</v>
      </c>
      <c r="G23" s="7" t="n">
        <v>57.36</v>
      </c>
      <c r="H23" s="7" t="n">
        <v>1779</v>
      </c>
      <c r="I23" s="7" t="n">
        <v>6.94</v>
      </c>
      <c r="J23" s="7" t="n">
        <v>359</v>
      </c>
      <c r="K23" s="7" t="n">
        <v>3081</v>
      </c>
      <c r="L23" s="7" t="n">
        <v>64.66</v>
      </c>
      <c r="M23" s="7" t="n">
        <v>53.3</v>
      </c>
      <c r="N23" s="7" t="n">
        <v>22</v>
      </c>
    </row>
    <row r="24">
      <c r="A24" s="7" t="inlineStr">
        <is>
          <t>Los Angeles</t>
        </is>
      </c>
      <c r="B24" s="7" t="n">
        <v>25</v>
      </c>
      <c r="C24" s="7" t="n">
        <v>3254</v>
      </c>
      <c r="D24" s="7" t="n">
        <v>1.52</v>
      </c>
      <c r="E24" s="7" t="n">
        <v>36.2</v>
      </c>
      <c r="F24" s="7" t="n">
        <v>78.8</v>
      </c>
      <c r="G24" s="7" t="n">
        <v>66.06999999999999</v>
      </c>
      <c r="H24" s="7" t="n">
        <v>1779</v>
      </c>
      <c r="I24" s="7" t="n">
        <v>6.94</v>
      </c>
      <c r="J24" s="7" t="n">
        <v>223</v>
      </c>
      <c r="K24" s="7" t="n">
        <v>1439</v>
      </c>
      <c r="L24" s="7" t="n">
        <v>32</v>
      </c>
      <c r="M24" s="7" t="n">
        <v>53</v>
      </c>
      <c r="N24" s="7" t="n">
        <v>23</v>
      </c>
    </row>
    <row r="25">
      <c r="A25" s="7" t="inlineStr">
        <is>
          <t>Boston</t>
        </is>
      </c>
      <c r="B25" s="7" t="n">
        <v>27</v>
      </c>
      <c r="C25" s="7" t="n">
        <v>2634</v>
      </c>
      <c r="D25" s="7" t="n">
        <v>1.39</v>
      </c>
      <c r="E25" s="7" t="n">
        <v>36.2</v>
      </c>
      <c r="F25" s="7" t="n">
        <v>78.8</v>
      </c>
      <c r="G25" s="7" t="n">
        <v>27.03</v>
      </c>
      <c r="H25" s="7" t="n">
        <v>1779</v>
      </c>
      <c r="I25" s="7" t="n">
        <v>6.94</v>
      </c>
      <c r="J25" s="7" t="n">
        <v>88</v>
      </c>
      <c r="K25" s="7" t="n">
        <v>588</v>
      </c>
      <c r="L25" s="7" t="n">
        <v>46.27</v>
      </c>
      <c r="M25" s="7" t="n">
        <v>52.4</v>
      </c>
      <c r="N25" s="7" t="n">
        <v>24</v>
      </c>
    </row>
    <row r="26">
      <c r="A26" s="7" t="inlineStr">
        <is>
          <t>Paris</t>
        </is>
      </c>
      <c r="B26" s="7" t="n">
        <v>35</v>
      </c>
      <c r="C26" s="7" t="n">
        <v>1662</v>
      </c>
      <c r="D26" s="7" t="n">
        <v>1.95</v>
      </c>
      <c r="E26" s="7" t="n">
        <v>21.6</v>
      </c>
      <c r="F26" s="7" t="n">
        <v>81.8</v>
      </c>
      <c r="G26" s="7" t="n">
        <v>65.09999999999999</v>
      </c>
      <c r="H26" s="7" t="n">
        <v>1505</v>
      </c>
      <c r="I26" s="7" t="n">
        <v>6.66</v>
      </c>
      <c r="J26" s="7" t="n">
        <v>331</v>
      </c>
      <c r="K26" s="7" t="n">
        <v>4363</v>
      </c>
      <c r="L26" s="7" t="n">
        <v>35.93</v>
      </c>
      <c r="M26" s="7" t="n">
        <v>52.3</v>
      </c>
      <c r="N26" s="7" t="n">
        <v>25</v>
      </c>
    </row>
    <row r="27">
      <c r="A27" s="7" t="inlineStr">
        <is>
          <t>Hong Kong</t>
        </is>
      </c>
      <c r="B27" s="7" t="n">
        <v>31</v>
      </c>
      <c r="C27" s="7" t="n">
        <v>1836</v>
      </c>
      <c r="D27" s="7" t="n">
        <v>0.75</v>
      </c>
      <c r="E27" s="7" t="n">
        <v>6.2</v>
      </c>
      <c r="F27" s="7" t="n">
        <v>75.40000000000001</v>
      </c>
      <c r="G27" s="7" t="n">
        <v>67.45999999999999</v>
      </c>
      <c r="H27" s="7" t="n">
        <v>1686</v>
      </c>
      <c r="I27" s="7" t="n">
        <v>5.51</v>
      </c>
      <c r="J27" s="7" t="n">
        <v>277</v>
      </c>
      <c r="K27" s="7" t="n">
        <v>1257</v>
      </c>
      <c r="L27" s="7" t="n">
        <v>57.95</v>
      </c>
      <c r="M27" s="7" t="n">
        <v>51</v>
      </c>
      <c r="N27" s="7" t="n">
        <v>26</v>
      </c>
    </row>
    <row r="28">
      <c r="A28" s="7" t="inlineStr">
        <is>
          <t>Beijing</t>
        </is>
      </c>
      <c r="B28" s="7" t="n">
        <v>12</v>
      </c>
      <c r="C28" s="7" t="n">
        <v>2671</v>
      </c>
      <c r="D28" s="7" t="n">
        <v>0.26</v>
      </c>
      <c r="E28" s="7" t="n">
        <v>6.2</v>
      </c>
      <c r="F28" s="7" t="n">
        <v>75.40000000000001</v>
      </c>
      <c r="G28" s="7" t="n">
        <v>85.43000000000001</v>
      </c>
      <c r="H28" s="7" t="n">
        <v>1686</v>
      </c>
      <c r="I28" s="7" t="n">
        <v>5.12</v>
      </c>
      <c r="J28" s="7" t="n">
        <v>223</v>
      </c>
      <c r="K28" s="7" t="n">
        <v>261</v>
      </c>
      <c r="L28" s="7" t="n">
        <v>38.62</v>
      </c>
      <c r="M28" s="7" t="n">
        <v>50.6</v>
      </c>
      <c r="N28" s="7" t="n">
        <v>27</v>
      </c>
    </row>
    <row r="29">
      <c r="A29" s="7" t="inlineStr">
        <is>
          <t>Chicago</t>
        </is>
      </c>
      <c r="B29" s="7" t="n">
        <v>30</v>
      </c>
      <c r="C29" s="7" t="n">
        <v>2508</v>
      </c>
      <c r="D29" s="7" t="n">
        <v>1.2</v>
      </c>
      <c r="E29" s="7" t="n">
        <v>36.2</v>
      </c>
      <c r="F29" s="7" t="n">
        <v>78.8</v>
      </c>
      <c r="G29" s="7" t="n">
        <v>43.33</v>
      </c>
      <c r="H29" s="7" t="n">
        <v>1779</v>
      </c>
      <c r="I29" s="7" t="n">
        <v>6.94</v>
      </c>
      <c r="J29" s="7" t="n">
        <v>171</v>
      </c>
      <c r="K29" s="7" t="n">
        <v>1320</v>
      </c>
      <c r="L29" s="7" t="n">
        <v>41.14</v>
      </c>
      <c r="M29" s="7" t="n">
        <v>50.5</v>
      </c>
      <c r="N29" s="7" t="n">
        <v>28</v>
      </c>
    </row>
    <row r="30">
      <c r="A30" s="7" t="inlineStr">
        <is>
          <t>Dublin</t>
        </is>
      </c>
      <c r="B30" s="7" t="n">
        <v>28</v>
      </c>
      <c r="C30" s="7" t="n">
        <v>1453</v>
      </c>
      <c r="D30" s="7" t="n">
        <v>1.4</v>
      </c>
      <c r="E30" s="7" t="n">
        <v>25.3</v>
      </c>
      <c r="F30" s="7" t="n">
        <v>80.5</v>
      </c>
      <c r="G30" s="7" t="n">
        <v>40.07</v>
      </c>
      <c r="H30" s="7" t="n">
        <v>1772</v>
      </c>
      <c r="I30" s="7" t="n">
        <v>7.09</v>
      </c>
      <c r="J30" s="7" t="n">
        <v>159</v>
      </c>
      <c r="K30" s="7" t="n">
        <v>659</v>
      </c>
      <c r="L30" s="7" t="n">
        <v>37.35</v>
      </c>
      <c r="M30" s="7" t="n">
        <v>49.8</v>
      </c>
      <c r="N30" s="7" t="n">
        <v>29</v>
      </c>
    </row>
    <row r="31">
      <c r="A31" s="7" t="inlineStr">
        <is>
          <t>Frankfurt</t>
        </is>
      </c>
      <c r="B31" s="7" t="n">
        <v>19</v>
      </c>
      <c r="C31" s="7" t="n">
        <v>1662</v>
      </c>
      <c r="D31" s="7" t="n">
        <v>1.95</v>
      </c>
      <c r="E31" s="7" t="n">
        <v>22.3</v>
      </c>
      <c r="F31" s="7" t="n">
        <v>80.59999999999999</v>
      </c>
      <c r="G31" s="7" t="n">
        <v>37.78</v>
      </c>
      <c r="H31" s="7" t="n">
        <v>1386</v>
      </c>
      <c r="I31" s="7" t="n">
        <v>7.07</v>
      </c>
      <c r="J31" s="7" t="n">
        <v>23</v>
      </c>
      <c r="K31" s="7" t="n">
        <v>551</v>
      </c>
      <c r="L31" s="7" t="n">
        <v>39.01</v>
      </c>
      <c r="M31" s="7" t="n">
        <v>49.5</v>
      </c>
      <c r="N31" s="7" t="n">
        <v>30</v>
      </c>
    </row>
    <row r="32">
      <c r="A32" s="7" t="inlineStr">
        <is>
          <t>Buenos Aires</t>
        </is>
      </c>
      <c r="B32" s="7" t="n">
        <v>14</v>
      </c>
      <c r="C32" s="7" t="n">
        <v>2525</v>
      </c>
      <c r="D32" s="7" t="n">
        <v>0.57</v>
      </c>
      <c r="E32" s="7" t="n">
        <v>28.3</v>
      </c>
      <c r="F32" s="7" t="n">
        <v>75.90000000000001</v>
      </c>
      <c r="G32" s="7" t="n">
        <v>52.64</v>
      </c>
      <c r="H32" s="7" t="n">
        <v>1686</v>
      </c>
      <c r="I32" s="7" t="n">
        <v>5.97</v>
      </c>
      <c r="J32" s="7" t="n">
        <v>246</v>
      </c>
      <c r="K32" s="7" t="n">
        <v>1435</v>
      </c>
      <c r="L32" s="7" t="n">
        <v>22.45</v>
      </c>
      <c r="M32" s="7" t="n">
        <v>49.3</v>
      </c>
      <c r="N32" s="7" t="n">
        <v>31</v>
      </c>
    </row>
    <row r="33">
      <c r="A33" s="7" t="inlineStr">
        <is>
          <t>Washington, D.C.</t>
        </is>
      </c>
      <c r="B33" s="7" t="n">
        <v>41</v>
      </c>
      <c r="C33" s="7" t="n">
        <v>2528</v>
      </c>
      <c r="D33" s="7" t="n">
        <v>1.45</v>
      </c>
      <c r="E33" s="7" t="n">
        <v>36.2</v>
      </c>
      <c r="F33" s="7" t="n">
        <v>78.8</v>
      </c>
      <c r="G33" s="7" t="n">
        <v>39.18</v>
      </c>
      <c r="H33" s="7" t="n">
        <v>1779</v>
      </c>
      <c r="I33" s="7" t="n">
        <v>6.94</v>
      </c>
      <c r="J33" s="7" t="n">
        <v>83</v>
      </c>
      <c r="K33" s="7" t="n">
        <v>744</v>
      </c>
      <c r="L33" s="7" t="n">
        <v>65.98999999999999</v>
      </c>
      <c r="M33" s="7" t="n">
        <v>48.9</v>
      </c>
      <c r="N33" s="7" t="n">
        <v>32</v>
      </c>
    </row>
    <row r="34">
      <c r="A34" s="7" t="inlineStr">
        <is>
          <t>Milan</t>
        </is>
      </c>
      <c r="B34" s="7" t="n">
        <v>40</v>
      </c>
      <c r="C34" s="7" t="n">
        <v>1915</v>
      </c>
      <c r="D34" s="7" t="n">
        <v>1.15</v>
      </c>
      <c r="E34" s="7" t="n">
        <v>19.9</v>
      </c>
      <c r="F34" s="7" t="n">
        <v>82.7</v>
      </c>
      <c r="G34" s="7" t="n">
        <v>67.19</v>
      </c>
      <c r="H34" s="7" t="n">
        <v>1718</v>
      </c>
      <c r="I34" s="7" t="n">
        <v>6.38</v>
      </c>
      <c r="J34" s="7" t="n">
        <v>110</v>
      </c>
      <c r="K34" s="7" t="n">
        <v>2396</v>
      </c>
      <c r="L34" s="7" t="n">
        <v>53.49</v>
      </c>
      <c r="M34" s="7" t="n">
        <v>47.6</v>
      </c>
      <c r="N34" s="7" t="n">
        <v>33</v>
      </c>
    </row>
    <row r="35">
      <c r="A35" s="7" t="inlineStr">
        <is>
          <t>Jakarta</t>
        </is>
      </c>
      <c r="B35" s="7" t="n">
        <v>17</v>
      </c>
      <c r="C35" s="7" t="n">
        <v>2983</v>
      </c>
      <c r="D35" s="7" t="n">
        <v>0.21</v>
      </c>
      <c r="E35" s="7" t="n">
        <v>6.9</v>
      </c>
      <c r="F35" s="7" t="n">
        <v>68.5</v>
      </c>
      <c r="G35" s="7" t="n">
        <v>84.39</v>
      </c>
      <c r="H35" s="7" t="n">
        <v>1686</v>
      </c>
      <c r="I35" s="7" t="n">
        <v>5.28</v>
      </c>
      <c r="J35" s="7" t="n">
        <v>114</v>
      </c>
      <c r="K35" s="7" t="n">
        <v>833</v>
      </c>
      <c r="L35" s="7" t="n">
        <v>29.94</v>
      </c>
      <c r="M35" s="7" t="n">
        <v>46</v>
      </c>
      <c r="N35" s="7" t="n">
        <v>34</v>
      </c>
    </row>
    <row r="36">
      <c r="A36" s="7" t="inlineStr">
        <is>
          <t>Taipei</t>
        </is>
      </c>
      <c r="B36" s="7" t="n">
        <v>24</v>
      </c>
      <c r="C36" s="7" t="n">
        <v>1405</v>
      </c>
      <c r="D36" s="7" t="n">
        <v>0.57</v>
      </c>
      <c r="E36" s="7" t="n">
        <v>6.2</v>
      </c>
      <c r="F36" s="7" t="n">
        <v>75.40000000000001</v>
      </c>
      <c r="G36" s="7" t="n">
        <v>49.32</v>
      </c>
      <c r="H36" s="7" t="n">
        <v>1686</v>
      </c>
      <c r="I36" s="7" t="n">
        <v>5.12</v>
      </c>
      <c r="J36" s="7" t="n">
        <v>134</v>
      </c>
      <c r="K36" s="7" t="n">
        <v>717</v>
      </c>
      <c r="L36" s="7" t="n">
        <v>34.76</v>
      </c>
      <c r="M36" s="7" t="n">
        <v>45.7</v>
      </c>
      <c r="N36" s="7" t="n">
        <v>35</v>
      </c>
    </row>
    <row r="37">
      <c r="A37" s="7" t="inlineStr">
        <is>
          <t>Mexico City</t>
        </is>
      </c>
      <c r="B37" s="7" t="n">
        <v>44</v>
      </c>
      <c r="C37" s="7" t="n">
        <v>2555</v>
      </c>
      <c r="D37" s="7" t="n">
        <v>0.45</v>
      </c>
      <c r="E37" s="7" t="n">
        <v>28.9</v>
      </c>
      <c r="F37" s="7" t="n">
        <v>76.40000000000001</v>
      </c>
      <c r="G37" s="7" t="n">
        <v>82.78</v>
      </c>
      <c r="H37" s="7" t="n">
        <v>2137</v>
      </c>
      <c r="I37" s="7" t="n">
        <v>6.46</v>
      </c>
      <c r="J37" s="7" t="n">
        <v>192</v>
      </c>
      <c r="K37" s="7" t="n">
        <v>1313</v>
      </c>
      <c r="L37" s="7" t="n">
        <v>41.99</v>
      </c>
      <c r="M37" s="7" t="n">
        <v>43.5</v>
      </c>
      <c r="N37" s="7" t="n">
        <v>36</v>
      </c>
    </row>
    <row r="38">
      <c r="A38" s="7" t="inlineStr">
        <is>
          <t>Brussels</t>
        </is>
      </c>
      <c r="B38" s="7" t="n">
        <v>33</v>
      </c>
      <c r="C38" s="7" t="n">
        <v>1546</v>
      </c>
      <c r="D38" s="7" t="n">
        <v>2.11</v>
      </c>
      <c r="E38" s="7" t="n">
        <v>22.1</v>
      </c>
      <c r="F38" s="7" t="n">
        <v>80.40000000000001</v>
      </c>
      <c r="G38" s="7" t="n">
        <v>62.67</v>
      </c>
      <c r="H38" s="7" t="n">
        <v>1583</v>
      </c>
      <c r="I38" s="7" t="n">
        <v>6.86</v>
      </c>
      <c r="J38" s="7" t="n">
        <v>55</v>
      </c>
      <c r="K38" s="7" t="n">
        <v>988</v>
      </c>
      <c r="L38" s="7" t="n">
        <v>25.34</v>
      </c>
      <c r="M38" s="7" t="n">
        <v>43.4</v>
      </c>
      <c r="N38" s="7" t="n">
        <v>37</v>
      </c>
    </row>
    <row r="39">
      <c r="A39" s="7" t="inlineStr">
        <is>
          <t>Moscow</t>
        </is>
      </c>
      <c r="B39" s="7" t="n">
        <v>43</v>
      </c>
      <c r="C39" s="7" t="n">
        <v>1901</v>
      </c>
      <c r="D39" s="7" t="n">
        <v>0.41</v>
      </c>
      <c r="E39" s="7" t="n">
        <v>23.1</v>
      </c>
      <c r="F39" s="7" t="n">
        <v>69.5</v>
      </c>
      <c r="G39" s="7" t="n">
        <v>57.63</v>
      </c>
      <c r="H39" s="7" t="n">
        <v>1965</v>
      </c>
      <c r="I39" s="7" t="n">
        <v>5.54</v>
      </c>
      <c r="J39" s="7" t="n">
        <v>322</v>
      </c>
      <c r="K39" s="7" t="n">
        <v>3206</v>
      </c>
      <c r="L39" s="7" t="n">
        <v>31.4</v>
      </c>
      <c r="M39" s="7" t="n">
        <v>42.7</v>
      </c>
      <c r="N39" s="7" t="n">
        <v>38</v>
      </c>
    </row>
    <row r="40">
      <c r="A40" s="7" t="inlineStr">
        <is>
          <t>Istanbul</t>
        </is>
      </c>
      <c r="B40" s="7" t="n">
        <v>22</v>
      </c>
      <c r="C40" s="7" t="n">
        <v>2218</v>
      </c>
      <c r="D40" s="7" t="n">
        <v>0.15</v>
      </c>
      <c r="E40" s="7" t="n">
        <v>32.1</v>
      </c>
      <c r="F40" s="7" t="n">
        <v>74.7</v>
      </c>
      <c r="G40" s="7" t="n">
        <v>69.48999999999999</v>
      </c>
      <c r="H40" s="7" t="n">
        <v>1832</v>
      </c>
      <c r="I40" s="7" t="n">
        <v>5.13</v>
      </c>
      <c r="J40" s="7" t="n">
        <v>419</v>
      </c>
      <c r="K40" s="7" t="n">
        <v>934</v>
      </c>
      <c r="L40" s="7" t="n">
        <v>16.97</v>
      </c>
      <c r="M40" s="7" t="n">
        <v>42.5</v>
      </c>
      <c r="N40" s="7" t="n">
        <v>39</v>
      </c>
    </row>
    <row r="41">
      <c r="A41" s="7" t="inlineStr">
        <is>
          <t>Shanghai</t>
        </is>
      </c>
      <c r="B41" s="7" t="n">
        <v>32</v>
      </c>
      <c r="C41" s="7" t="n">
        <v>1776</v>
      </c>
      <c r="D41" s="7" t="n">
        <v>0.29</v>
      </c>
      <c r="E41" s="7" t="n">
        <v>6.2</v>
      </c>
      <c r="F41" s="7" t="n">
        <v>75.40000000000001</v>
      </c>
      <c r="G41" s="7" t="n">
        <v>77.40000000000001</v>
      </c>
      <c r="H41" s="7" t="n">
        <v>1686</v>
      </c>
      <c r="I41" s="7" t="n">
        <v>5.12</v>
      </c>
      <c r="J41" s="7" t="n">
        <v>108</v>
      </c>
      <c r="K41" s="7" t="n">
        <v>346</v>
      </c>
      <c r="L41" s="7" t="n">
        <v>44.68</v>
      </c>
      <c r="M41" s="7" t="n">
        <v>41.9</v>
      </c>
      <c r="N41" s="7" t="n">
        <v>40</v>
      </c>
    </row>
    <row r="42">
      <c r="A42" s="7" t="inlineStr">
        <is>
          <t>Sao Paulo</t>
        </is>
      </c>
      <c r="B42" s="7" t="n">
        <v>36</v>
      </c>
      <c r="C42" s="7" t="n">
        <v>2003</v>
      </c>
      <c r="D42" s="7" t="n">
        <v>0.44</v>
      </c>
      <c r="E42" s="7" t="n">
        <v>22.1</v>
      </c>
      <c r="F42" s="7" t="n">
        <v>73.90000000000001</v>
      </c>
      <c r="G42" s="7" t="n">
        <v>79.78</v>
      </c>
      <c r="H42" s="7" t="n">
        <v>1686</v>
      </c>
      <c r="I42" s="7" t="n">
        <v>6.37</v>
      </c>
      <c r="J42" s="7" t="n">
        <v>158</v>
      </c>
      <c r="K42" s="7" t="n">
        <v>3355</v>
      </c>
      <c r="L42" s="7" t="n">
        <v>16.07</v>
      </c>
      <c r="M42" s="7" t="n">
        <v>40.4</v>
      </c>
      <c r="N42" s="7" t="n">
        <v>41</v>
      </c>
    </row>
    <row r="43">
      <c r="A43" s="7" t="inlineStr">
        <is>
          <t>Mumbai</t>
        </is>
      </c>
      <c r="B43" s="7" t="n">
        <v>26</v>
      </c>
      <c r="C43" s="7" t="n">
        <v>2584</v>
      </c>
      <c r="D43" s="7" t="n">
        <v>0.15</v>
      </c>
      <c r="E43" s="7" t="n">
        <v>3.9</v>
      </c>
      <c r="F43" s="7" t="n">
        <v>67.3</v>
      </c>
      <c r="G43" s="7" t="n">
        <v>82.84</v>
      </c>
      <c r="H43" s="7" t="n">
        <v>1686</v>
      </c>
      <c r="I43" s="7" t="n">
        <v>3.57</v>
      </c>
      <c r="J43" s="7" t="n">
        <v>187</v>
      </c>
      <c r="K43" s="7" t="n">
        <v>1183</v>
      </c>
      <c r="L43" s="7" t="n">
        <v>19.54</v>
      </c>
      <c r="M43" s="7" t="n">
        <v>39.4</v>
      </c>
      <c r="N43" s="7" t="n">
        <v>42</v>
      </c>
    </row>
    <row r="44">
      <c r="A44" s="7" t="inlineStr">
        <is>
          <t>Cairo</t>
        </is>
      </c>
      <c r="B44" s="7" t="n">
        <v>23</v>
      </c>
      <c r="C44" s="7" t="n">
        <v>3542</v>
      </c>
      <c r="D44" s="7" t="n">
        <v>0.16</v>
      </c>
      <c r="E44" s="7" t="n">
        <v>32</v>
      </c>
      <c r="F44" s="7" t="n">
        <v>70.7</v>
      </c>
      <c r="G44" s="7" t="n">
        <v>91.73999999999999</v>
      </c>
      <c r="H44" s="7" t="n">
        <v>1686</v>
      </c>
      <c r="I44" s="7" t="n">
        <v>4.15</v>
      </c>
      <c r="J44" s="7" t="n">
        <v>323</v>
      </c>
      <c r="K44" s="7" t="n">
        <v>250</v>
      </c>
      <c r="L44" s="7" t="n">
        <v>23.25</v>
      </c>
      <c r="M44" s="7" t="n">
        <v>38.9</v>
      </c>
      <c r="N44" s="7" t="n">
        <v>43</v>
      </c>
    </row>
    <row r="45">
      <c r="A45" s="7" t="inlineStr">
        <is>
          <t>Johannesburg</t>
        </is>
      </c>
      <c r="B45" s="7" t="n">
        <v>39</v>
      </c>
      <c r="C45" s="7" t="n">
        <v>3124</v>
      </c>
      <c r="D45" s="7" t="n">
        <v>0.59</v>
      </c>
      <c r="E45" s="7" t="n">
        <v>28.3</v>
      </c>
      <c r="F45" s="7" t="n">
        <v>56.3</v>
      </c>
      <c r="G45" s="7" t="n">
        <v>61.83</v>
      </c>
      <c r="H45" s="7" t="n">
        <v>1686</v>
      </c>
      <c r="I45" s="7" t="n">
        <v>4.81</v>
      </c>
      <c r="J45" s="7" t="n">
        <v>194</v>
      </c>
      <c r="K45" s="7" t="n">
        <v>492</v>
      </c>
      <c r="L45" s="7" t="n">
        <v>24.28</v>
      </c>
      <c r="M45" s="7" t="n">
        <v>33.8</v>
      </c>
      <c r="N45" s="7" t="n">
        <v>44</v>
      </c>
    </row>
  </sheetData>
  <conditionalFormatting sqref="M2:M45">
    <cfRule type="dataBar" priority="1">
      <dataBar>
        <cfvo type="min"/>
        <cfvo type="max"/>
        <color rgb="001F6F5C"/>
      </dataBar>
    </cfRule>
  </conditionalFormatting>
  <conditionalFormatting sqref="E2:E45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:G45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>
      <c r="A1" s="1" t="inlineStr">
        <is>
          <t>Summary Statistics</t>
        </is>
      </c>
    </row>
    <row r="2">
      <c r="A2" s="2" t="inlineStr">
        <is>
          <t>Formulas reference the CleanedData table directly — recalculates if source data changes.</t>
        </is>
      </c>
    </row>
    <row r="4">
      <c r="A4" s="6" t="inlineStr">
        <is>
          <t>Metric</t>
        </is>
      </c>
      <c r="B4" s="6" t="inlineStr">
        <is>
          <t>Count</t>
        </is>
      </c>
      <c r="C4" s="6" t="inlineStr">
        <is>
          <t>Mean</t>
        </is>
      </c>
      <c r="D4" s="6" t="inlineStr">
        <is>
          <t>Median</t>
        </is>
      </c>
      <c r="E4" s="6" t="inlineStr">
        <is>
          <t>Std Dev</t>
        </is>
      </c>
      <c r="F4" s="6" t="inlineStr">
        <is>
          <t>Min</t>
        </is>
      </c>
      <c r="G4" s="6" t="inlineStr">
        <is>
          <t>Max</t>
        </is>
      </c>
    </row>
    <row r="5">
      <c r="A5" s="8" t="inlineStr">
        <is>
          <t>sunshine_hours</t>
        </is>
      </c>
      <c r="B5" s="8">
        <f>COUNT(CleanedData[sunshine_hours])</f>
        <v/>
      </c>
      <c r="C5" s="8">
        <f>ROUND(AVERAGE(CleanedData[sunshine_hours]),2)</f>
        <v/>
      </c>
      <c r="D5" s="8">
        <f>ROUND(MEDIAN(CleanedData[sunshine_hours]),2)</f>
        <v/>
      </c>
      <c r="E5" s="8">
        <f>ROUND(_xlfn.STDEV.P(CleanedData[sunshine_hours]),2)</f>
        <v/>
      </c>
      <c r="F5" s="8">
        <f>ROUND(MIN(CleanedData[sunshine_hours]),2)</f>
        <v/>
      </c>
      <c r="G5" s="8">
        <f>ROUND(MAX(CleanedData[sunshine_hours]),2)</f>
        <v/>
      </c>
    </row>
    <row r="6">
      <c r="A6" s="8" t="inlineStr">
        <is>
          <t>water_cost_gbp</t>
        </is>
      </c>
      <c r="B6" s="8">
        <f>COUNT(CleanedData[water_cost_gbp])</f>
        <v/>
      </c>
      <c r="C6" s="8">
        <f>ROUND(AVERAGE(CleanedData[water_cost_gbp]),2)</f>
        <v/>
      </c>
      <c r="D6" s="8">
        <f>ROUND(MEDIAN(CleanedData[water_cost_gbp]),2)</f>
        <v/>
      </c>
      <c r="E6" s="8">
        <f>ROUND(_xlfn.STDEV.P(CleanedData[water_cost_gbp]),2)</f>
        <v/>
      </c>
      <c r="F6" s="8">
        <f>ROUND(MIN(CleanedData[water_cost_gbp]),2)</f>
        <v/>
      </c>
      <c r="G6" s="8">
        <f>ROUND(MAX(CleanedData[water_cost_gbp]),2)</f>
        <v/>
      </c>
    </row>
    <row r="7">
      <c r="A7" s="8" t="inlineStr">
        <is>
          <t>obesity_pct</t>
        </is>
      </c>
      <c r="B7" s="8">
        <f>COUNT(CleanedData[obesity_pct])</f>
        <v/>
      </c>
      <c r="C7" s="8">
        <f>ROUND(AVERAGE(CleanedData[obesity_pct]),2)</f>
        <v/>
      </c>
      <c r="D7" s="8">
        <f>ROUND(MEDIAN(CleanedData[obesity_pct]),2)</f>
        <v/>
      </c>
      <c r="E7" s="8">
        <f>ROUND(_xlfn.STDEV.P(CleanedData[obesity_pct]),2)</f>
        <v/>
      </c>
      <c r="F7" s="8">
        <f>ROUND(MIN(CleanedData[obesity_pct]),2)</f>
        <v/>
      </c>
      <c r="G7" s="8">
        <f>ROUND(MAX(CleanedData[obesity_pct]),2)</f>
        <v/>
      </c>
    </row>
    <row r="8">
      <c r="A8" s="8" t="inlineStr">
        <is>
          <t>life_expectancy_years</t>
        </is>
      </c>
      <c r="B8" s="8">
        <f>COUNT(CleanedData[life_expectancy_years])</f>
        <v/>
      </c>
      <c r="C8" s="8">
        <f>ROUND(AVERAGE(CleanedData[life_expectancy_years]),2)</f>
        <v/>
      </c>
      <c r="D8" s="8">
        <f>ROUND(MEDIAN(CleanedData[life_expectancy_years]),2)</f>
        <v/>
      </c>
      <c r="E8" s="8">
        <f>ROUND(_xlfn.STDEV.P(CleanedData[life_expectancy_years]),2)</f>
        <v/>
      </c>
      <c r="F8" s="8">
        <f>ROUND(MIN(CleanedData[life_expectancy_years]),2)</f>
        <v/>
      </c>
      <c r="G8" s="8">
        <f>ROUND(MAX(CleanedData[life_expectancy_years]),2)</f>
        <v/>
      </c>
    </row>
    <row r="9">
      <c r="A9" s="8" t="inlineStr">
        <is>
          <t>pollution_index</t>
        </is>
      </c>
      <c r="B9" s="8">
        <f>COUNT(CleanedData[pollution_index])</f>
        <v/>
      </c>
      <c r="C9" s="8">
        <f>ROUND(AVERAGE(CleanedData[pollution_index]),2)</f>
        <v/>
      </c>
      <c r="D9" s="8">
        <f>ROUND(MEDIAN(CleanedData[pollution_index]),2)</f>
        <v/>
      </c>
      <c r="E9" s="8">
        <f>ROUND(_xlfn.STDEV.P(CleanedData[pollution_index]),2)</f>
        <v/>
      </c>
      <c r="F9" s="8">
        <f>ROUND(MIN(CleanedData[pollution_index]),2)</f>
        <v/>
      </c>
      <c r="G9" s="8">
        <f>ROUND(MAX(CleanedData[pollution_index]),2)</f>
        <v/>
      </c>
    </row>
    <row r="10">
      <c r="A10" s="8" t="inlineStr">
        <is>
          <t>annual_hours_worked</t>
        </is>
      </c>
      <c r="B10" s="8">
        <f>COUNT(CleanedData[annual_hours_worked])</f>
        <v/>
      </c>
      <c r="C10" s="8">
        <f>ROUND(AVERAGE(CleanedData[annual_hours_worked]),2)</f>
        <v/>
      </c>
      <c r="D10" s="8">
        <f>ROUND(MEDIAN(CleanedData[annual_hours_worked]),2)</f>
        <v/>
      </c>
      <c r="E10" s="8">
        <f>ROUND(_xlfn.STDEV.P(CleanedData[annual_hours_worked]),2)</f>
        <v/>
      </c>
      <c r="F10" s="8">
        <f>ROUND(MIN(CleanedData[annual_hours_worked]),2)</f>
        <v/>
      </c>
      <c r="G10" s="8">
        <f>ROUND(MAX(CleanedData[annual_hours_worked]),2)</f>
        <v/>
      </c>
    </row>
    <row r="11">
      <c r="A11" s="8" t="inlineStr">
        <is>
          <t>happiness_score</t>
        </is>
      </c>
      <c r="B11" s="8">
        <f>COUNT(CleanedData[happiness_score])</f>
        <v/>
      </c>
      <c r="C11" s="8">
        <f>ROUND(AVERAGE(CleanedData[happiness_score]),2)</f>
        <v/>
      </c>
      <c r="D11" s="8">
        <f>ROUND(MEDIAN(CleanedData[happiness_score]),2)</f>
        <v/>
      </c>
      <c r="E11" s="8">
        <f>ROUND(_xlfn.STDEV.P(CleanedData[happiness_score]),2)</f>
        <v/>
      </c>
      <c r="F11" s="8">
        <f>ROUND(MIN(CleanedData[happiness_score]),2)</f>
        <v/>
      </c>
      <c r="G11" s="8">
        <f>ROUND(MAX(CleanedData[happiness_score]),2)</f>
        <v/>
      </c>
    </row>
    <row r="12">
      <c r="A12" s="8" t="inlineStr">
        <is>
          <t>outdoor_activities_count</t>
        </is>
      </c>
      <c r="B12" s="8">
        <f>COUNT(CleanedData[outdoor_activities_count])</f>
        <v/>
      </c>
      <c r="C12" s="8">
        <f>ROUND(AVERAGE(CleanedData[outdoor_activities_count]),2)</f>
        <v/>
      </c>
      <c r="D12" s="8">
        <f>ROUND(MEDIAN(CleanedData[outdoor_activities_count]),2)</f>
        <v/>
      </c>
      <c r="E12" s="8">
        <f>ROUND(_xlfn.STDEV.P(CleanedData[outdoor_activities_count]),2)</f>
        <v/>
      </c>
      <c r="F12" s="8">
        <f>ROUND(MIN(CleanedData[outdoor_activities_count]),2)</f>
        <v/>
      </c>
      <c r="G12" s="8">
        <f>ROUND(MAX(CleanedData[outdoor_activities_count]),2)</f>
        <v/>
      </c>
    </row>
    <row r="13">
      <c r="A13" s="8" t="inlineStr">
        <is>
          <t>takeout_places_count</t>
        </is>
      </c>
      <c r="B13" s="8">
        <f>COUNT(CleanedData[takeout_places_count])</f>
        <v/>
      </c>
      <c r="C13" s="8">
        <f>ROUND(AVERAGE(CleanedData[takeout_places_count]),2)</f>
        <v/>
      </c>
      <c r="D13" s="8">
        <f>ROUND(MEDIAN(CleanedData[takeout_places_count]),2)</f>
        <v/>
      </c>
      <c r="E13" s="8">
        <f>ROUND(_xlfn.STDEV.P(CleanedData[takeout_places_count]),2)</f>
        <v/>
      </c>
      <c r="F13" s="8">
        <f>ROUND(MIN(CleanedData[takeout_places_count]),2)</f>
        <v/>
      </c>
      <c r="G13" s="8">
        <f>ROUND(MAX(CleanedData[takeout_places_count]),2)</f>
        <v/>
      </c>
    </row>
    <row r="14">
      <c r="A14" s="8" t="inlineStr">
        <is>
          <t>gym_membership_gbp</t>
        </is>
      </c>
      <c r="B14" s="8">
        <f>COUNT(CleanedData[gym_membership_gbp])</f>
        <v/>
      </c>
      <c r="C14" s="8">
        <f>ROUND(AVERAGE(CleanedData[gym_membership_gbp]),2)</f>
        <v/>
      </c>
      <c r="D14" s="8">
        <f>ROUND(MEDIAN(CleanedData[gym_membership_gbp]),2)</f>
        <v/>
      </c>
      <c r="E14" s="8">
        <f>ROUND(_xlfn.STDEV.P(CleanedData[gym_membership_gbp]),2)</f>
        <v/>
      </c>
      <c r="F14" s="8">
        <f>ROUND(MIN(CleanedData[gym_membership_gbp]),2)</f>
        <v/>
      </c>
      <c r="G14" s="8">
        <f>ROUND(MAX(CleanedData[gym_membership_gbp]),2)</f>
        <v/>
      </c>
    </row>
    <row r="15">
      <c r="A15" s="8" t="inlineStr">
        <is>
          <t>health_score</t>
        </is>
      </c>
      <c r="B15" s="8">
        <f>COUNT(CleanedData[health_score])</f>
        <v/>
      </c>
      <c r="C15" s="8">
        <f>ROUND(AVERAGE(CleanedData[health_score]),2)</f>
        <v/>
      </c>
      <c r="D15" s="8">
        <f>ROUND(MEDIAN(CleanedData[health_score]),2)</f>
        <v/>
      </c>
      <c r="E15" s="8">
        <f>ROUND(_xlfn.STDEV.P(CleanedData[health_score]),2)</f>
        <v/>
      </c>
      <c r="F15" s="8">
        <f>ROUND(MIN(CleanedData[health_score]),2)</f>
        <v/>
      </c>
      <c r="G15" s="8">
        <f>ROUND(MAX(CleanedData[health_score]),2)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Correlation Matrix (Pearson r)</t>
        </is>
      </c>
    </row>
    <row r="2">
      <c r="A2" s="2" t="inlineStr">
        <is>
          <t>CORREL formulas reference the CleanedData table — updates automatically.</t>
        </is>
      </c>
    </row>
    <row r="4">
      <c r="A4" s="6" t="inlineStr"/>
      <c r="B4" s="6" t="inlineStr">
        <is>
          <t>sunshine_hours</t>
        </is>
      </c>
      <c r="C4" s="6" t="inlineStr">
        <is>
          <t>water_cost_gbp</t>
        </is>
      </c>
      <c r="D4" s="6" t="inlineStr">
        <is>
          <t>obesity_pct</t>
        </is>
      </c>
      <c r="E4" s="6" t="inlineStr">
        <is>
          <t>life_expectancy_years</t>
        </is>
      </c>
      <c r="F4" s="6" t="inlineStr">
        <is>
          <t>pollution_index</t>
        </is>
      </c>
      <c r="G4" s="6" t="inlineStr">
        <is>
          <t>annual_hours_worked</t>
        </is>
      </c>
      <c r="H4" s="6" t="inlineStr">
        <is>
          <t>happiness_score</t>
        </is>
      </c>
      <c r="I4" s="6" t="inlineStr">
        <is>
          <t>outdoor_activities_count</t>
        </is>
      </c>
      <c r="J4" s="6" t="inlineStr">
        <is>
          <t>takeout_places_count</t>
        </is>
      </c>
      <c r="K4" s="6" t="inlineStr">
        <is>
          <t>gym_membership_gbp</t>
        </is>
      </c>
      <c r="L4" s="6" t="inlineStr">
        <is>
          <t>health_score</t>
        </is>
      </c>
    </row>
    <row r="5">
      <c r="A5" s="9" t="inlineStr">
        <is>
          <t>sunshine_hours</t>
        </is>
      </c>
      <c r="B5" s="10">
        <f>ROUND(CORREL(CleanedData[sunshine_hours],CleanedData[sunshine_hours]),2)</f>
        <v/>
      </c>
      <c r="C5" s="10">
        <f>ROUND(CORREL(CleanedData[sunshine_hours],CleanedData[water_cost_gbp]),2)</f>
        <v/>
      </c>
      <c r="D5" s="10">
        <f>ROUND(CORREL(CleanedData[sunshine_hours],CleanedData[obesity_pct]),2)</f>
        <v/>
      </c>
      <c r="E5" s="10">
        <f>ROUND(CORREL(CleanedData[sunshine_hours],CleanedData[life_expectancy_years]),2)</f>
        <v/>
      </c>
      <c r="F5" s="10">
        <f>ROUND(CORREL(CleanedData[sunshine_hours],CleanedData[pollution_index]),2)</f>
        <v/>
      </c>
      <c r="G5" s="10">
        <f>ROUND(CORREL(CleanedData[sunshine_hours],CleanedData[annual_hours_worked]),2)</f>
        <v/>
      </c>
      <c r="H5" s="10">
        <f>ROUND(CORREL(CleanedData[sunshine_hours],CleanedData[happiness_score]),2)</f>
        <v/>
      </c>
      <c r="I5" s="10">
        <f>ROUND(CORREL(CleanedData[sunshine_hours],CleanedData[outdoor_activities_count]),2)</f>
        <v/>
      </c>
      <c r="J5" s="10">
        <f>ROUND(CORREL(CleanedData[sunshine_hours],CleanedData[takeout_places_count]),2)</f>
        <v/>
      </c>
      <c r="K5" s="10">
        <f>ROUND(CORREL(CleanedData[sunshine_hours],CleanedData[gym_membership_gbp]),2)</f>
        <v/>
      </c>
      <c r="L5" s="10">
        <f>ROUND(CORREL(CleanedData[sunshine_hours],CleanedData[health_score]),2)</f>
        <v/>
      </c>
    </row>
    <row r="6">
      <c r="A6" s="9" t="inlineStr">
        <is>
          <t>water_cost_gbp</t>
        </is>
      </c>
      <c r="B6" s="10">
        <f>ROUND(CORREL(CleanedData[water_cost_gbp],CleanedData[sunshine_hours]),2)</f>
        <v/>
      </c>
      <c r="C6" s="10">
        <f>ROUND(CORREL(CleanedData[water_cost_gbp],CleanedData[water_cost_gbp]),2)</f>
        <v/>
      </c>
      <c r="D6" s="10">
        <f>ROUND(CORREL(CleanedData[water_cost_gbp],CleanedData[obesity_pct]),2)</f>
        <v/>
      </c>
      <c r="E6" s="10">
        <f>ROUND(CORREL(CleanedData[water_cost_gbp],CleanedData[life_expectancy_years]),2)</f>
        <v/>
      </c>
      <c r="F6" s="10">
        <f>ROUND(CORREL(CleanedData[water_cost_gbp],CleanedData[pollution_index]),2)</f>
        <v/>
      </c>
      <c r="G6" s="10">
        <f>ROUND(CORREL(CleanedData[water_cost_gbp],CleanedData[annual_hours_worked]),2)</f>
        <v/>
      </c>
      <c r="H6" s="10">
        <f>ROUND(CORREL(CleanedData[water_cost_gbp],CleanedData[happiness_score]),2)</f>
        <v/>
      </c>
      <c r="I6" s="10">
        <f>ROUND(CORREL(CleanedData[water_cost_gbp],CleanedData[outdoor_activities_count]),2)</f>
        <v/>
      </c>
      <c r="J6" s="10">
        <f>ROUND(CORREL(CleanedData[water_cost_gbp],CleanedData[takeout_places_count]),2)</f>
        <v/>
      </c>
      <c r="K6" s="10">
        <f>ROUND(CORREL(CleanedData[water_cost_gbp],CleanedData[gym_membership_gbp]),2)</f>
        <v/>
      </c>
      <c r="L6" s="10">
        <f>ROUND(CORREL(CleanedData[water_cost_gbp],CleanedData[health_score]),2)</f>
        <v/>
      </c>
    </row>
    <row r="7">
      <c r="A7" s="9" t="inlineStr">
        <is>
          <t>obesity_pct</t>
        </is>
      </c>
      <c r="B7" s="10">
        <f>ROUND(CORREL(CleanedData[obesity_pct],CleanedData[sunshine_hours]),2)</f>
        <v/>
      </c>
      <c r="C7" s="10">
        <f>ROUND(CORREL(CleanedData[obesity_pct],CleanedData[water_cost_gbp]),2)</f>
        <v/>
      </c>
      <c r="D7" s="10">
        <f>ROUND(CORREL(CleanedData[obesity_pct],CleanedData[obesity_pct]),2)</f>
        <v/>
      </c>
      <c r="E7" s="10">
        <f>ROUND(CORREL(CleanedData[obesity_pct],CleanedData[life_expectancy_years]),2)</f>
        <v/>
      </c>
      <c r="F7" s="10">
        <f>ROUND(CORREL(CleanedData[obesity_pct],CleanedData[pollution_index]),2)</f>
        <v/>
      </c>
      <c r="G7" s="10">
        <f>ROUND(CORREL(CleanedData[obesity_pct],CleanedData[annual_hours_worked]),2)</f>
        <v/>
      </c>
      <c r="H7" s="10">
        <f>ROUND(CORREL(CleanedData[obesity_pct],CleanedData[happiness_score]),2)</f>
        <v/>
      </c>
      <c r="I7" s="10">
        <f>ROUND(CORREL(CleanedData[obesity_pct],CleanedData[outdoor_activities_count]),2)</f>
        <v/>
      </c>
      <c r="J7" s="10">
        <f>ROUND(CORREL(CleanedData[obesity_pct],CleanedData[takeout_places_count]),2)</f>
        <v/>
      </c>
      <c r="K7" s="10">
        <f>ROUND(CORREL(CleanedData[obesity_pct],CleanedData[gym_membership_gbp]),2)</f>
        <v/>
      </c>
      <c r="L7" s="10">
        <f>ROUND(CORREL(CleanedData[obesity_pct],CleanedData[health_score]),2)</f>
        <v/>
      </c>
    </row>
    <row r="8">
      <c r="A8" s="9" t="inlineStr">
        <is>
          <t>life_expectancy_years</t>
        </is>
      </c>
      <c r="B8" s="10">
        <f>ROUND(CORREL(CleanedData[life_expectancy_years],CleanedData[sunshine_hours]),2)</f>
        <v/>
      </c>
      <c r="C8" s="10">
        <f>ROUND(CORREL(CleanedData[life_expectancy_years],CleanedData[water_cost_gbp]),2)</f>
        <v/>
      </c>
      <c r="D8" s="10">
        <f>ROUND(CORREL(CleanedData[life_expectancy_years],CleanedData[obesity_pct]),2)</f>
        <v/>
      </c>
      <c r="E8" s="10">
        <f>ROUND(CORREL(CleanedData[life_expectancy_years],CleanedData[life_expectancy_years]),2)</f>
        <v/>
      </c>
      <c r="F8" s="10">
        <f>ROUND(CORREL(CleanedData[life_expectancy_years],CleanedData[pollution_index]),2)</f>
        <v/>
      </c>
      <c r="G8" s="10">
        <f>ROUND(CORREL(CleanedData[life_expectancy_years],CleanedData[annual_hours_worked]),2)</f>
        <v/>
      </c>
      <c r="H8" s="10">
        <f>ROUND(CORREL(CleanedData[life_expectancy_years],CleanedData[happiness_score]),2)</f>
        <v/>
      </c>
      <c r="I8" s="10">
        <f>ROUND(CORREL(CleanedData[life_expectancy_years],CleanedData[outdoor_activities_count]),2)</f>
        <v/>
      </c>
      <c r="J8" s="10">
        <f>ROUND(CORREL(CleanedData[life_expectancy_years],CleanedData[takeout_places_count]),2)</f>
        <v/>
      </c>
      <c r="K8" s="10">
        <f>ROUND(CORREL(CleanedData[life_expectancy_years],CleanedData[gym_membership_gbp]),2)</f>
        <v/>
      </c>
      <c r="L8" s="10">
        <f>ROUND(CORREL(CleanedData[life_expectancy_years],CleanedData[health_score]),2)</f>
        <v/>
      </c>
    </row>
    <row r="9">
      <c r="A9" s="9" t="inlineStr">
        <is>
          <t>pollution_index</t>
        </is>
      </c>
      <c r="B9" s="10">
        <f>ROUND(CORREL(CleanedData[pollution_index],CleanedData[sunshine_hours]),2)</f>
        <v/>
      </c>
      <c r="C9" s="10">
        <f>ROUND(CORREL(CleanedData[pollution_index],CleanedData[water_cost_gbp]),2)</f>
        <v/>
      </c>
      <c r="D9" s="10">
        <f>ROUND(CORREL(CleanedData[pollution_index],CleanedData[obesity_pct]),2)</f>
        <v/>
      </c>
      <c r="E9" s="10">
        <f>ROUND(CORREL(CleanedData[pollution_index],CleanedData[life_expectancy_years]),2)</f>
        <v/>
      </c>
      <c r="F9" s="10">
        <f>ROUND(CORREL(CleanedData[pollution_index],CleanedData[pollution_index]),2)</f>
        <v/>
      </c>
      <c r="G9" s="10">
        <f>ROUND(CORREL(CleanedData[pollution_index],CleanedData[annual_hours_worked]),2)</f>
        <v/>
      </c>
      <c r="H9" s="10">
        <f>ROUND(CORREL(CleanedData[pollution_index],CleanedData[happiness_score]),2)</f>
        <v/>
      </c>
      <c r="I9" s="10">
        <f>ROUND(CORREL(CleanedData[pollution_index],CleanedData[outdoor_activities_count]),2)</f>
        <v/>
      </c>
      <c r="J9" s="10">
        <f>ROUND(CORREL(CleanedData[pollution_index],CleanedData[takeout_places_count]),2)</f>
        <v/>
      </c>
      <c r="K9" s="10">
        <f>ROUND(CORREL(CleanedData[pollution_index],CleanedData[gym_membership_gbp]),2)</f>
        <v/>
      </c>
      <c r="L9" s="10">
        <f>ROUND(CORREL(CleanedData[pollution_index],CleanedData[health_score]),2)</f>
        <v/>
      </c>
    </row>
    <row r="10">
      <c r="A10" s="9" t="inlineStr">
        <is>
          <t>annual_hours_worked</t>
        </is>
      </c>
      <c r="B10" s="10">
        <f>ROUND(CORREL(CleanedData[annual_hours_worked],CleanedData[sunshine_hours]),2)</f>
        <v/>
      </c>
      <c r="C10" s="10">
        <f>ROUND(CORREL(CleanedData[annual_hours_worked],CleanedData[water_cost_gbp]),2)</f>
        <v/>
      </c>
      <c r="D10" s="10">
        <f>ROUND(CORREL(CleanedData[annual_hours_worked],CleanedData[obesity_pct]),2)</f>
        <v/>
      </c>
      <c r="E10" s="10">
        <f>ROUND(CORREL(CleanedData[annual_hours_worked],CleanedData[life_expectancy_years]),2)</f>
        <v/>
      </c>
      <c r="F10" s="10">
        <f>ROUND(CORREL(CleanedData[annual_hours_worked],CleanedData[pollution_index]),2)</f>
        <v/>
      </c>
      <c r="G10" s="10">
        <f>ROUND(CORREL(CleanedData[annual_hours_worked],CleanedData[annual_hours_worked]),2)</f>
        <v/>
      </c>
      <c r="H10" s="10">
        <f>ROUND(CORREL(CleanedData[annual_hours_worked],CleanedData[happiness_score]),2)</f>
        <v/>
      </c>
      <c r="I10" s="10">
        <f>ROUND(CORREL(CleanedData[annual_hours_worked],CleanedData[outdoor_activities_count]),2)</f>
        <v/>
      </c>
      <c r="J10" s="10">
        <f>ROUND(CORREL(CleanedData[annual_hours_worked],CleanedData[takeout_places_count]),2)</f>
        <v/>
      </c>
      <c r="K10" s="10">
        <f>ROUND(CORREL(CleanedData[annual_hours_worked],CleanedData[gym_membership_gbp]),2)</f>
        <v/>
      </c>
      <c r="L10" s="10">
        <f>ROUND(CORREL(CleanedData[annual_hours_worked],CleanedData[health_score]),2)</f>
        <v/>
      </c>
    </row>
    <row r="11">
      <c r="A11" s="9" t="inlineStr">
        <is>
          <t>happiness_score</t>
        </is>
      </c>
      <c r="B11" s="10">
        <f>ROUND(CORREL(CleanedData[happiness_score],CleanedData[sunshine_hours]),2)</f>
        <v/>
      </c>
      <c r="C11" s="10">
        <f>ROUND(CORREL(CleanedData[happiness_score],CleanedData[water_cost_gbp]),2)</f>
        <v/>
      </c>
      <c r="D11" s="10">
        <f>ROUND(CORREL(CleanedData[happiness_score],CleanedData[obesity_pct]),2)</f>
        <v/>
      </c>
      <c r="E11" s="10">
        <f>ROUND(CORREL(CleanedData[happiness_score],CleanedData[life_expectancy_years]),2)</f>
        <v/>
      </c>
      <c r="F11" s="10">
        <f>ROUND(CORREL(CleanedData[happiness_score],CleanedData[pollution_index]),2)</f>
        <v/>
      </c>
      <c r="G11" s="10">
        <f>ROUND(CORREL(CleanedData[happiness_score],CleanedData[annual_hours_worked]),2)</f>
        <v/>
      </c>
      <c r="H11" s="10">
        <f>ROUND(CORREL(CleanedData[happiness_score],CleanedData[happiness_score]),2)</f>
        <v/>
      </c>
      <c r="I11" s="10">
        <f>ROUND(CORREL(CleanedData[happiness_score],CleanedData[outdoor_activities_count]),2)</f>
        <v/>
      </c>
      <c r="J11" s="10">
        <f>ROUND(CORREL(CleanedData[happiness_score],CleanedData[takeout_places_count]),2)</f>
        <v/>
      </c>
      <c r="K11" s="10">
        <f>ROUND(CORREL(CleanedData[happiness_score],CleanedData[gym_membership_gbp]),2)</f>
        <v/>
      </c>
      <c r="L11" s="10">
        <f>ROUND(CORREL(CleanedData[happiness_score],CleanedData[health_score]),2)</f>
        <v/>
      </c>
    </row>
    <row r="12">
      <c r="A12" s="9" t="inlineStr">
        <is>
          <t>outdoor_activities_count</t>
        </is>
      </c>
      <c r="B12" s="10">
        <f>ROUND(CORREL(CleanedData[outdoor_activities_count],CleanedData[sunshine_hours]),2)</f>
        <v/>
      </c>
      <c r="C12" s="10">
        <f>ROUND(CORREL(CleanedData[outdoor_activities_count],CleanedData[water_cost_gbp]),2)</f>
        <v/>
      </c>
      <c r="D12" s="10">
        <f>ROUND(CORREL(CleanedData[outdoor_activities_count],CleanedData[obesity_pct]),2)</f>
        <v/>
      </c>
      <c r="E12" s="10">
        <f>ROUND(CORREL(CleanedData[outdoor_activities_count],CleanedData[life_expectancy_years]),2)</f>
        <v/>
      </c>
      <c r="F12" s="10">
        <f>ROUND(CORREL(CleanedData[outdoor_activities_count],CleanedData[pollution_index]),2)</f>
        <v/>
      </c>
      <c r="G12" s="10">
        <f>ROUND(CORREL(CleanedData[outdoor_activities_count],CleanedData[annual_hours_worked]),2)</f>
        <v/>
      </c>
      <c r="H12" s="10">
        <f>ROUND(CORREL(CleanedData[outdoor_activities_count],CleanedData[happiness_score]),2)</f>
        <v/>
      </c>
      <c r="I12" s="10">
        <f>ROUND(CORREL(CleanedData[outdoor_activities_count],CleanedData[outdoor_activities_count]),2)</f>
        <v/>
      </c>
      <c r="J12" s="10">
        <f>ROUND(CORREL(CleanedData[outdoor_activities_count],CleanedData[takeout_places_count]),2)</f>
        <v/>
      </c>
      <c r="K12" s="10">
        <f>ROUND(CORREL(CleanedData[outdoor_activities_count],CleanedData[gym_membership_gbp]),2)</f>
        <v/>
      </c>
      <c r="L12" s="10">
        <f>ROUND(CORREL(CleanedData[outdoor_activities_count],CleanedData[health_score]),2)</f>
        <v/>
      </c>
    </row>
    <row r="13">
      <c r="A13" s="9" t="inlineStr">
        <is>
          <t>takeout_places_count</t>
        </is>
      </c>
      <c r="B13" s="10">
        <f>ROUND(CORREL(CleanedData[takeout_places_count],CleanedData[sunshine_hours]),2)</f>
        <v/>
      </c>
      <c r="C13" s="10">
        <f>ROUND(CORREL(CleanedData[takeout_places_count],CleanedData[water_cost_gbp]),2)</f>
        <v/>
      </c>
      <c r="D13" s="10">
        <f>ROUND(CORREL(CleanedData[takeout_places_count],CleanedData[obesity_pct]),2)</f>
        <v/>
      </c>
      <c r="E13" s="10">
        <f>ROUND(CORREL(CleanedData[takeout_places_count],CleanedData[life_expectancy_years]),2)</f>
        <v/>
      </c>
      <c r="F13" s="10">
        <f>ROUND(CORREL(CleanedData[takeout_places_count],CleanedData[pollution_index]),2)</f>
        <v/>
      </c>
      <c r="G13" s="10">
        <f>ROUND(CORREL(CleanedData[takeout_places_count],CleanedData[annual_hours_worked]),2)</f>
        <v/>
      </c>
      <c r="H13" s="10">
        <f>ROUND(CORREL(CleanedData[takeout_places_count],CleanedData[happiness_score]),2)</f>
        <v/>
      </c>
      <c r="I13" s="10">
        <f>ROUND(CORREL(CleanedData[takeout_places_count],CleanedData[outdoor_activities_count]),2)</f>
        <v/>
      </c>
      <c r="J13" s="10">
        <f>ROUND(CORREL(CleanedData[takeout_places_count],CleanedData[takeout_places_count]),2)</f>
        <v/>
      </c>
      <c r="K13" s="10">
        <f>ROUND(CORREL(CleanedData[takeout_places_count],CleanedData[gym_membership_gbp]),2)</f>
        <v/>
      </c>
      <c r="L13" s="10">
        <f>ROUND(CORREL(CleanedData[takeout_places_count],CleanedData[health_score]),2)</f>
        <v/>
      </c>
    </row>
    <row r="14">
      <c r="A14" s="9" t="inlineStr">
        <is>
          <t>gym_membership_gbp</t>
        </is>
      </c>
      <c r="B14" s="10">
        <f>ROUND(CORREL(CleanedData[gym_membership_gbp],CleanedData[sunshine_hours]),2)</f>
        <v/>
      </c>
      <c r="C14" s="10">
        <f>ROUND(CORREL(CleanedData[gym_membership_gbp],CleanedData[water_cost_gbp]),2)</f>
        <v/>
      </c>
      <c r="D14" s="10">
        <f>ROUND(CORREL(CleanedData[gym_membership_gbp],CleanedData[obesity_pct]),2)</f>
        <v/>
      </c>
      <c r="E14" s="10">
        <f>ROUND(CORREL(CleanedData[gym_membership_gbp],CleanedData[life_expectancy_years]),2)</f>
        <v/>
      </c>
      <c r="F14" s="10">
        <f>ROUND(CORREL(CleanedData[gym_membership_gbp],CleanedData[pollution_index]),2)</f>
        <v/>
      </c>
      <c r="G14" s="10">
        <f>ROUND(CORREL(CleanedData[gym_membership_gbp],CleanedData[annual_hours_worked]),2)</f>
        <v/>
      </c>
      <c r="H14" s="10">
        <f>ROUND(CORREL(CleanedData[gym_membership_gbp],CleanedData[happiness_score]),2)</f>
        <v/>
      </c>
      <c r="I14" s="10">
        <f>ROUND(CORREL(CleanedData[gym_membership_gbp],CleanedData[outdoor_activities_count]),2)</f>
        <v/>
      </c>
      <c r="J14" s="10">
        <f>ROUND(CORREL(CleanedData[gym_membership_gbp],CleanedData[takeout_places_count]),2)</f>
        <v/>
      </c>
      <c r="K14" s="10">
        <f>ROUND(CORREL(CleanedData[gym_membership_gbp],CleanedData[gym_membership_gbp]),2)</f>
        <v/>
      </c>
      <c r="L14" s="10">
        <f>ROUND(CORREL(CleanedData[gym_membership_gbp],CleanedData[health_score]),2)</f>
        <v/>
      </c>
    </row>
    <row r="15">
      <c r="A15" s="9" t="inlineStr">
        <is>
          <t>health_score</t>
        </is>
      </c>
      <c r="B15" s="10">
        <f>ROUND(CORREL(CleanedData[health_score],CleanedData[sunshine_hours]),2)</f>
        <v/>
      </c>
      <c r="C15" s="10">
        <f>ROUND(CORREL(CleanedData[health_score],CleanedData[water_cost_gbp]),2)</f>
        <v/>
      </c>
      <c r="D15" s="10">
        <f>ROUND(CORREL(CleanedData[health_score],CleanedData[obesity_pct]),2)</f>
        <v/>
      </c>
      <c r="E15" s="10">
        <f>ROUND(CORREL(CleanedData[health_score],CleanedData[life_expectancy_years]),2)</f>
        <v/>
      </c>
      <c r="F15" s="10">
        <f>ROUND(CORREL(CleanedData[health_score],CleanedData[pollution_index]),2)</f>
        <v/>
      </c>
      <c r="G15" s="10">
        <f>ROUND(CORREL(CleanedData[health_score],CleanedData[annual_hours_worked]),2)</f>
        <v/>
      </c>
      <c r="H15" s="10">
        <f>ROUND(CORREL(CleanedData[health_score],CleanedData[happiness_score]),2)</f>
        <v/>
      </c>
      <c r="I15" s="10">
        <f>ROUND(CORREL(CleanedData[health_score],CleanedData[outdoor_activities_count]),2)</f>
        <v/>
      </c>
      <c r="J15" s="10">
        <f>ROUND(CORREL(CleanedData[health_score],CleanedData[takeout_places_count]),2)</f>
        <v/>
      </c>
      <c r="K15" s="10">
        <f>ROUND(CORREL(CleanedData[health_score],CleanedData[gym_membership_gbp]),2)</f>
        <v/>
      </c>
      <c r="L15" s="10">
        <f>ROUND(CORREL(CleanedData[health_score],CleanedData[health_score]),2)</f>
        <v/>
      </c>
    </row>
  </sheetData>
  <conditionalFormatting sqref="B5:L15">
    <cfRule type="colorScale" priority="1">
      <colorScale>
        <cfvo type="num" val="-1"/>
        <cfvo type="num" val="0"/>
        <cfvo type="num" val="1"/>
        <color rgb="00F8696B"/>
        <color rgb="00FFFFFF"/>
        <color rgb="001F6F5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6" customWidth="1" min="3" max="3"/>
    <col width="25" customWidth="1" min="4" max="4"/>
    <col width="19" customWidth="1" min="5" max="5"/>
    <col width="15" customWidth="1" min="6" max="6"/>
    <col width="19" customWidth="1" min="7" max="7"/>
    <col width="18" customWidth="1" min="8" max="8"/>
  </cols>
  <sheetData>
    <row r="1">
      <c r="A1" s="6" t="inlineStr">
        <is>
          <t>health_rank</t>
        </is>
      </c>
      <c r="B1" s="6" t="inlineStr">
        <is>
          <t>city</t>
        </is>
      </c>
      <c r="C1" s="6" t="inlineStr">
        <is>
          <t>health_score</t>
        </is>
      </c>
      <c r="D1" s="6" t="inlineStr">
        <is>
          <t>life_expectancy_years</t>
        </is>
      </c>
      <c r="E1" s="6" t="inlineStr">
        <is>
          <t>happiness_score</t>
        </is>
      </c>
      <c r="F1" s="6" t="inlineStr">
        <is>
          <t>obesity_pct</t>
        </is>
      </c>
      <c r="G1" s="6" t="inlineStr">
        <is>
          <t>pollution_index</t>
        </is>
      </c>
      <c r="H1" s="6" t="inlineStr">
        <is>
          <t>sunshine_hours</t>
        </is>
      </c>
    </row>
    <row r="2">
      <c r="A2" s="7" t="n">
        <v>1</v>
      </c>
      <c r="B2" s="7" t="inlineStr">
        <is>
          <t>Sydney</t>
        </is>
      </c>
      <c r="C2" s="7" t="n">
        <v>68.8</v>
      </c>
      <c r="D2" s="7" t="n">
        <v>82.09999999999999</v>
      </c>
      <c r="E2" s="7" t="n">
        <v>7.22</v>
      </c>
      <c r="F2" s="7" t="n">
        <v>29</v>
      </c>
      <c r="G2" s="7" t="n">
        <v>26.86</v>
      </c>
      <c r="H2" s="7" t="n">
        <v>2636</v>
      </c>
    </row>
    <row r="3">
      <c r="A3" s="7" t="n">
        <v>2</v>
      </c>
      <c r="B3" s="7" t="inlineStr">
        <is>
          <t>Amsterdam</t>
        </is>
      </c>
      <c r="C3" s="7" t="n">
        <v>67.09999999999999</v>
      </c>
      <c r="D3" s="7" t="n">
        <v>81.2</v>
      </c>
      <c r="E3" s="7" t="n">
        <v>7.44</v>
      </c>
      <c r="F3" s="7" t="n">
        <v>20.4</v>
      </c>
      <c r="G3" s="7" t="n">
        <v>30.93</v>
      </c>
      <c r="H3" s="7" t="n">
        <v>1858</v>
      </c>
    </row>
    <row r="4">
      <c r="A4" s="7" t="n">
        <v>3</v>
      </c>
      <c r="B4" s="7" t="inlineStr">
        <is>
          <t>Tokyo</t>
        </is>
      </c>
      <c r="C4" s="7" t="n">
        <v>67</v>
      </c>
      <c r="D4" s="7" t="n">
        <v>83.2</v>
      </c>
      <c r="E4" s="7" t="n">
        <v>5.87</v>
      </c>
      <c r="F4" s="7" t="n">
        <v>4.3</v>
      </c>
      <c r="G4" s="7" t="n">
        <v>42.84</v>
      </c>
      <c r="H4" s="7" t="n">
        <v>1877</v>
      </c>
    </row>
    <row r="5">
      <c r="A5" s="7" t="n">
        <v>4</v>
      </c>
      <c r="B5" s="7" t="inlineStr">
        <is>
          <t>Barcelona</t>
        </is>
      </c>
      <c r="C5" s="7" t="n">
        <v>65.09999999999999</v>
      </c>
      <c r="D5" s="7" t="n">
        <v>82.2</v>
      </c>
      <c r="E5" s="7" t="n">
        <v>6.4</v>
      </c>
      <c r="F5" s="7" t="n">
        <v>23.8</v>
      </c>
      <c r="G5" s="7" t="n">
        <v>65.19</v>
      </c>
      <c r="H5" s="7" t="n">
        <v>2591</v>
      </c>
    </row>
    <row r="6">
      <c r="A6" s="7" t="n">
        <v>5</v>
      </c>
      <c r="B6" s="7" t="inlineStr">
        <is>
          <t>Tel Aviv</t>
        </is>
      </c>
      <c r="C6" s="7" t="n">
        <v>62.8</v>
      </c>
      <c r="D6" s="7" t="n">
        <v>81.90000000000001</v>
      </c>
      <c r="E6" s="7" t="n">
        <v>7.12</v>
      </c>
      <c r="F6" s="7" t="n">
        <v>26.1</v>
      </c>
      <c r="G6" s="7" t="n">
        <v>47.28</v>
      </c>
      <c r="H6" s="7" t="n">
        <v>3311</v>
      </c>
    </row>
    <row r="7">
      <c r="A7" s="7" t="n">
        <v>6</v>
      </c>
      <c r="B7" s="7" t="inlineStr">
        <is>
          <t>Melbourne</t>
        </is>
      </c>
      <c r="C7" s="7" t="n">
        <v>62</v>
      </c>
      <c r="D7" s="7" t="n">
        <v>82.09999999999999</v>
      </c>
      <c r="E7" s="7" t="n">
        <v>7.22</v>
      </c>
      <c r="F7" s="7" t="n">
        <v>29</v>
      </c>
      <c r="G7" s="7" t="n">
        <v>25.9</v>
      </c>
      <c r="H7" s="7" t="n">
        <v>2363</v>
      </c>
    </row>
    <row r="8">
      <c r="A8" s="7" t="n">
        <v>7</v>
      </c>
      <c r="B8" s="7" t="inlineStr">
        <is>
          <t>Fukuoka</t>
        </is>
      </c>
      <c r="C8" s="7" t="n">
        <v>61.5</v>
      </c>
      <c r="D8" s="7" t="n">
        <v>83.2</v>
      </c>
      <c r="E8" s="7" t="n">
        <v>5.87</v>
      </c>
      <c r="F8" s="7" t="n">
        <v>4.3</v>
      </c>
      <c r="G8" s="7" t="n">
        <v>52.64</v>
      </c>
      <c r="H8" s="7" t="n">
        <v>2769</v>
      </c>
    </row>
    <row r="9">
      <c r="A9" s="7" t="n">
        <v>8</v>
      </c>
      <c r="B9" s="7" t="inlineStr">
        <is>
          <t>Vienna</t>
        </is>
      </c>
      <c r="C9" s="7" t="n">
        <v>61</v>
      </c>
      <c r="D9" s="7" t="n">
        <v>81</v>
      </c>
      <c r="E9" s="7" t="n">
        <v>7.29</v>
      </c>
      <c r="F9" s="7" t="n">
        <v>20.1</v>
      </c>
      <c r="G9" s="7" t="n">
        <v>17.33</v>
      </c>
      <c r="H9" s="7" t="n">
        <v>1884</v>
      </c>
    </row>
    <row r="10">
      <c r="A10" s="7" t="n">
        <v>9</v>
      </c>
      <c r="B10" s="7" t="inlineStr">
        <is>
          <t>Stockholm</t>
        </is>
      </c>
      <c r="C10" s="7" t="n">
        <v>60.4</v>
      </c>
      <c r="D10" s="7" t="n">
        <v>81.8</v>
      </c>
      <c r="E10" s="7" t="n">
        <v>7.35</v>
      </c>
      <c r="F10" s="7" t="n">
        <v>20.6</v>
      </c>
      <c r="G10" s="7" t="n">
        <v>19.63</v>
      </c>
      <c r="H10" s="7" t="n">
        <v>1821</v>
      </c>
    </row>
    <row r="11">
      <c r="A11" s="7" t="n">
        <v>10</v>
      </c>
      <c r="B11" s="7" t="inlineStr">
        <is>
          <t>Helsinki</t>
        </is>
      </c>
      <c r="C11" s="7" t="n">
        <v>60.2</v>
      </c>
      <c r="D11" s="7" t="n">
        <v>80.40000000000001</v>
      </c>
      <c r="E11" s="7" t="n">
        <v>7.8</v>
      </c>
      <c r="F11" s="7" t="n">
        <v>22.2</v>
      </c>
      <c r="G11" s="7" t="n">
        <v>13.08</v>
      </c>
      <c r="H11" s="7" t="n">
        <v>1662</v>
      </c>
    </row>
    <row r="12">
      <c r="A12" s="7" t="n">
        <v>11</v>
      </c>
      <c r="B12" s="7" t="inlineStr">
        <is>
          <t>Geneva</t>
        </is>
      </c>
      <c r="C12" s="7" t="n">
        <v>60.1</v>
      </c>
      <c r="D12" s="7" t="n">
        <v>82.59999999999999</v>
      </c>
      <c r="E12" s="7" t="n">
        <v>7.56</v>
      </c>
      <c r="F12" s="7" t="n">
        <v>19.5</v>
      </c>
      <c r="G12" s="7" t="n">
        <v>27.25</v>
      </c>
      <c r="H12" s="7" t="n">
        <v>2066</v>
      </c>
    </row>
    <row r="13">
      <c r="A13" s="7" t="n">
        <v>12</v>
      </c>
      <c r="B13" s="7" t="inlineStr">
        <is>
          <t>Copenhagen</t>
        </is>
      </c>
      <c r="C13" s="7" t="n">
        <v>59.7</v>
      </c>
      <c r="D13" s="7" t="n">
        <v>79.8</v>
      </c>
      <c r="E13" s="7" t="n">
        <v>7.64</v>
      </c>
      <c r="F13" s="7" t="n">
        <v>19.7</v>
      </c>
      <c r="G13" s="7" t="n">
        <v>21.24</v>
      </c>
      <c r="H13" s="7" t="n">
        <v>1630</v>
      </c>
    </row>
    <row r="14">
      <c r="A14" s="7" t="n">
        <v>13</v>
      </c>
      <c r="B14" s="7" t="inlineStr">
        <is>
          <t>Zurich</t>
        </is>
      </c>
      <c r="C14" s="7" t="n">
        <v>59</v>
      </c>
      <c r="D14" s="7" t="n">
        <v>82.59999999999999</v>
      </c>
      <c r="E14" s="7" t="n">
        <v>7.56</v>
      </c>
      <c r="F14" s="7" t="n">
        <v>19.5</v>
      </c>
      <c r="G14" s="7" t="n">
        <v>17.31</v>
      </c>
      <c r="H14" s="7" t="n">
        <v>1566</v>
      </c>
    </row>
    <row r="15">
      <c r="A15" s="7" t="n">
        <v>14</v>
      </c>
      <c r="B15" s="7" t="inlineStr">
        <is>
          <t>Madrid</t>
        </is>
      </c>
      <c r="C15" s="7" t="n">
        <v>58.2</v>
      </c>
      <c r="D15" s="7" t="n">
        <v>82.2</v>
      </c>
      <c r="E15" s="7" t="n">
        <v>6.4</v>
      </c>
      <c r="F15" s="7" t="n">
        <v>23.8</v>
      </c>
      <c r="G15" s="7" t="n">
        <v>52.68</v>
      </c>
      <c r="H15" s="7" t="n">
        <v>2769</v>
      </c>
    </row>
    <row r="16">
      <c r="A16" s="7" t="n">
        <v>15</v>
      </c>
      <c r="B16" s="7" t="inlineStr">
        <is>
          <t>Vancouver</t>
        </is>
      </c>
      <c r="C16" s="7" t="n">
        <v>57.9</v>
      </c>
      <c r="D16" s="7" t="n">
        <v>81.7</v>
      </c>
      <c r="E16" s="7" t="n">
        <v>7.23</v>
      </c>
      <c r="F16" s="7" t="n">
        <v>29.4</v>
      </c>
      <c r="G16" s="7" t="n">
        <v>24.26</v>
      </c>
      <c r="H16" s="7" t="n">
        <v>1938</v>
      </c>
    </row>
    <row r="17">
      <c r="A17" s="7" t="n">
        <v>16</v>
      </c>
      <c r="B17" s="7" t="inlineStr">
        <is>
          <t>Bangkok</t>
        </is>
      </c>
      <c r="C17" s="7" t="n">
        <v>57.3</v>
      </c>
      <c r="D17" s="7" t="n">
        <v>74.09999999999999</v>
      </c>
      <c r="E17" s="7" t="n">
        <v>5.99</v>
      </c>
      <c r="F17" s="7" t="n">
        <v>10</v>
      </c>
      <c r="G17" s="7" t="n">
        <v>76.64</v>
      </c>
      <c r="H17" s="7" t="n">
        <v>2624</v>
      </c>
    </row>
    <row r="18">
      <c r="A18" s="7" t="n">
        <v>17</v>
      </c>
      <c r="B18" s="7" t="inlineStr">
        <is>
          <t>Seoul</t>
        </is>
      </c>
      <c r="C18" s="7" t="n">
        <v>56.7</v>
      </c>
      <c r="D18" s="7" t="n">
        <v>81.3</v>
      </c>
      <c r="E18" s="7" t="n">
        <v>5.87</v>
      </c>
      <c r="F18" s="7" t="n">
        <v>4.7</v>
      </c>
      <c r="G18" s="7" t="n">
        <v>57.82</v>
      </c>
      <c r="H18" s="7" t="n">
        <v>2066</v>
      </c>
    </row>
    <row r="19">
      <c r="A19" s="7" t="n">
        <v>18</v>
      </c>
      <c r="B19" s="7" t="inlineStr">
        <is>
          <t>San Francisco</t>
        </is>
      </c>
      <c r="C19" s="7" t="n">
        <v>56</v>
      </c>
      <c r="D19" s="7" t="n">
        <v>78.8</v>
      </c>
      <c r="E19" s="7" t="n">
        <v>6.94</v>
      </c>
      <c r="F19" s="7" t="n">
        <v>36.2</v>
      </c>
      <c r="G19" s="7" t="n">
        <v>47.36</v>
      </c>
      <c r="H19" s="7" t="n">
        <v>3062</v>
      </c>
    </row>
    <row r="20">
      <c r="A20" s="7" t="n">
        <v>19</v>
      </c>
      <c r="B20" s="7" t="inlineStr">
        <is>
          <t>Berlin</t>
        </is>
      </c>
      <c r="C20" s="7" t="n">
        <v>55.7</v>
      </c>
      <c r="D20" s="7" t="n">
        <v>80.59999999999999</v>
      </c>
      <c r="E20" s="7" t="n">
        <v>7.07</v>
      </c>
      <c r="F20" s="7" t="n">
        <v>22.3</v>
      </c>
      <c r="G20" s="7" t="n">
        <v>39.41</v>
      </c>
      <c r="H20" s="7" t="n">
        <v>1626</v>
      </c>
    </row>
    <row r="21">
      <c r="A21" s="7" t="n">
        <v>20</v>
      </c>
      <c r="B21" s="7" t="inlineStr">
        <is>
          <t>Toronto</t>
        </is>
      </c>
      <c r="C21" s="7" t="n">
        <v>54.7</v>
      </c>
      <c r="D21" s="7" t="n">
        <v>81.7</v>
      </c>
      <c r="E21" s="7" t="n">
        <v>7.23</v>
      </c>
      <c r="F21" s="7" t="n">
        <v>29.4</v>
      </c>
      <c r="G21" s="7" t="n">
        <v>37.83</v>
      </c>
      <c r="H21" s="7" t="n">
        <v>2066</v>
      </c>
    </row>
    <row r="22">
      <c r="A22" s="7" t="n">
        <v>21</v>
      </c>
      <c r="B22" s="7" t="inlineStr">
        <is>
          <t>London</t>
        </is>
      </c>
      <c r="C22" s="7" t="n">
        <v>54.3</v>
      </c>
      <c r="D22" s="7" t="n">
        <v>80.40000000000001</v>
      </c>
      <c r="E22" s="7" t="n">
        <v>7.16</v>
      </c>
      <c r="F22" s="7" t="n">
        <v>27.8</v>
      </c>
      <c r="G22" s="7" t="n">
        <v>58.91</v>
      </c>
      <c r="H22" s="7" t="n">
        <v>1633</v>
      </c>
    </row>
    <row r="23">
      <c r="A23" s="7" t="n">
        <v>22</v>
      </c>
      <c r="B23" s="7" t="inlineStr">
        <is>
          <t>New York</t>
        </is>
      </c>
      <c r="C23" s="7" t="n">
        <v>53.3</v>
      </c>
      <c r="D23" s="7" t="n">
        <v>78.8</v>
      </c>
      <c r="E23" s="7" t="n">
        <v>6.94</v>
      </c>
      <c r="F23" s="7" t="n">
        <v>36.2</v>
      </c>
      <c r="G23" s="7" t="n">
        <v>57.36</v>
      </c>
      <c r="H23" s="7" t="n">
        <v>2535</v>
      </c>
    </row>
    <row r="24">
      <c r="A24" s="7" t="n">
        <v>23</v>
      </c>
      <c r="B24" s="7" t="inlineStr">
        <is>
          <t>Los Angeles</t>
        </is>
      </c>
      <c r="C24" s="7" t="n">
        <v>53</v>
      </c>
      <c r="D24" s="7" t="n">
        <v>78.8</v>
      </c>
      <c r="E24" s="7" t="n">
        <v>6.94</v>
      </c>
      <c r="F24" s="7" t="n">
        <v>36.2</v>
      </c>
      <c r="G24" s="7" t="n">
        <v>66.06999999999999</v>
      </c>
      <c r="H24" s="7" t="n">
        <v>3254</v>
      </c>
    </row>
    <row r="25">
      <c r="A25" s="7" t="n">
        <v>24</v>
      </c>
      <c r="B25" s="7" t="inlineStr">
        <is>
          <t>Boston</t>
        </is>
      </c>
      <c r="C25" s="7" t="n">
        <v>52.4</v>
      </c>
      <c r="D25" s="7" t="n">
        <v>78.8</v>
      </c>
      <c r="E25" s="7" t="n">
        <v>6.94</v>
      </c>
      <c r="F25" s="7" t="n">
        <v>36.2</v>
      </c>
      <c r="G25" s="7" t="n">
        <v>27.03</v>
      </c>
      <c r="H25" s="7" t="n">
        <v>2634</v>
      </c>
    </row>
    <row r="26">
      <c r="A26" s="7" t="n">
        <v>25</v>
      </c>
      <c r="B26" s="7" t="inlineStr">
        <is>
          <t>Paris</t>
        </is>
      </c>
      <c r="C26" s="7" t="n">
        <v>52.3</v>
      </c>
      <c r="D26" s="7" t="n">
        <v>81.8</v>
      </c>
      <c r="E26" s="7" t="n">
        <v>6.66</v>
      </c>
      <c r="F26" s="7" t="n">
        <v>21.6</v>
      </c>
      <c r="G26" s="7" t="n">
        <v>65.09999999999999</v>
      </c>
      <c r="H26" s="7" t="n">
        <v>1662</v>
      </c>
    </row>
    <row r="27">
      <c r="A27" s="7" t="n">
        <v>26</v>
      </c>
      <c r="B27" s="7" t="inlineStr">
        <is>
          <t>Hong Kong</t>
        </is>
      </c>
      <c r="C27" s="7" t="n">
        <v>51</v>
      </c>
      <c r="D27" s="7" t="n">
        <v>75.40000000000001</v>
      </c>
      <c r="E27" s="7" t="n">
        <v>5.51</v>
      </c>
      <c r="F27" s="7" t="n">
        <v>6.2</v>
      </c>
      <c r="G27" s="7" t="n">
        <v>67.45999999999999</v>
      </c>
      <c r="H27" s="7" t="n">
        <v>1836</v>
      </c>
    </row>
    <row r="28">
      <c r="A28" s="7" t="n">
        <v>27</v>
      </c>
      <c r="B28" s="7" t="inlineStr">
        <is>
          <t>Beijing</t>
        </is>
      </c>
      <c r="C28" s="7" t="n">
        <v>50.6</v>
      </c>
      <c r="D28" s="7" t="n">
        <v>75.40000000000001</v>
      </c>
      <c r="E28" s="7" t="n">
        <v>5.12</v>
      </c>
      <c r="F28" s="7" t="n">
        <v>6.2</v>
      </c>
      <c r="G28" s="7" t="n">
        <v>85.43000000000001</v>
      </c>
      <c r="H28" s="7" t="n">
        <v>2671</v>
      </c>
    </row>
    <row r="29">
      <c r="A29" s="7" t="n">
        <v>28</v>
      </c>
      <c r="B29" s="7" t="inlineStr">
        <is>
          <t>Chicago</t>
        </is>
      </c>
      <c r="C29" s="7" t="n">
        <v>50.5</v>
      </c>
      <c r="D29" s="7" t="n">
        <v>78.8</v>
      </c>
      <c r="E29" s="7" t="n">
        <v>6.94</v>
      </c>
      <c r="F29" s="7" t="n">
        <v>36.2</v>
      </c>
      <c r="G29" s="7" t="n">
        <v>43.33</v>
      </c>
      <c r="H29" s="7" t="n">
        <v>2508</v>
      </c>
    </row>
    <row r="30">
      <c r="A30" s="7" t="n">
        <v>29</v>
      </c>
      <c r="B30" s="7" t="inlineStr">
        <is>
          <t>Dublin</t>
        </is>
      </c>
      <c r="C30" s="7" t="n">
        <v>49.8</v>
      </c>
      <c r="D30" s="7" t="n">
        <v>80.5</v>
      </c>
      <c r="E30" s="7" t="n">
        <v>7.09</v>
      </c>
      <c r="F30" s="7" t="n">
        <v>25.3</v>
      </c>
      <c r="G30" s="7" t="n">
        <v>40.07</v>
      </c>
      <c r="H30" s="7" t="n">
        <v>1453</v>
      </c>
    </row>
    <row r="31">
      <c r="A31" s="7" t="n">
        <v>30</v>
      </c>
      <c r="B31" s="7" t="inlineStr">
        <is>
          <t>Frankfurt</t>
        </is>
      </c>
      <c r="C31" s="7" t="n">
        <v>49.5</v>
      </c>
      <c r="D31" s="7" t="n">
        <v>80.59999999999999</v>
      </c>
      <c r="E31" s="7" t="n">
        <v>7.07</v>
      </c>
      <c r="F31" s="7" t="n">
        <v>22.3</v>
      </c>
      <c r="G31" s="7" t="n">
        <v>37.78</v>
      </c>
      <c r="H31" s="7" t="n">
        <v>1662</v>
      </c>
    </row>
    <row r="32">
      <c r="A32" s="7" t="n">
        <v>31</v>
      </c>
      <c r="B32" s="7" t="inlineStr">
        <is>
          <t>Buenos Aires</t>
        </is>
      </c>
      <c r="C32" s="7" t="n">
        <v>49.3</v>
      </c>
      <c r="D32" s="7" t="n">
        <v>75.90000000000001</v>
      </c>
      <c r="E32" s="7" t="n">
        <v>5.97</v>
      </c>
      <c r="F32" s="7" t="n">
        <v>28.3</v>
      </c>
      <c r="G32" s="7" t="n">
        <v>52.64</v>
      </c>
      <c r="H32" s="7" t="n">
        <v>2525</v>
      </c>
    </row>
    <row r="33">
      <c r="A33" s="7" t="n">
        <v>32</v>
      </c>
      <c r="B33" s="7" t="inlineStr">
        <is>
          <t>Washington, D.C.</t>
        </is>
      </c>
      <c r="C33" s="7" t="n">
        <v>48.9</v>
      </c>
      <c r="D33" s="7" t="n">
        <v>78.8</v>
      </c>
      <c r="E33" s="7" t="n">
        <v>6.94</v>
      </c>
      <c r="F33" s="7" t="n">
        <v>36.2</v>
      </c>
      <c r="G33" s="7" t="n">
        <v>39.18</v>
      </c>
      <c r="H33" s="7" t="n">
        <v>2528</v>
      </c>
    </row>
    <row r="34">
      <c r="A34" s="7" t="n">
        <v>33</v>
      </c>
      <c r="B34" s="7" t="inlineStr">
        <is>
          <t>Milan</t>
        </is>
      </c>
      <c r="C34" s="7" t="n">
        <v>47.6</v>
      </c>
      <c r="D34" s="7" t="n">
        <v>82.7</v>
      </c>
      <c r="E34" s="7" t="n">
        <v>6.38</v>
      </c>
      <c r="F34" s="7" t="n">
        <v>19.9</v>
      </c>
      <c r="G34" s="7" t="n">
        <v>67.19</v>
      </c>
      <c r="H34" s="7" t="n">
        <v>1915</v>
      </c>
    </row>
    <row r="35">
      <c r="A35" s="7" t="n">
        <v>34</v>
      </c>
      <c r="B35" s="7" t="inlineStr">
        <is>
          <t>Jakarta</t>
        </is>
      </c>
      <c r="C35" s="7" t="n">
        <v>46</v>
      </c>
      <c r="D35" s="7" t="n">
        <v>68.5</v>
      </c>
      <c r="E35" s="7" t="n">
        <v>5.28</v>
      </c>
      <c r="F35" s="7" t="n">
        <v>6.9</v>
      </c>
      <c r="G35" s="7" t="n">
        <v>84.39</v>
      </c>
      <c r="H35" s="7" t="n">
        <v>2983</v>
      </c>
    </row>
    <row r="36">
      <c r="A36" s="7" t="n">
        <v>35</v>
      </c>
      <c r="B36" s="7" t="inlineStr">
        <is>
          <t>Taipei</t>
        </is>
      </c>
      <c r="C36" s="7" t="n">
        <v>45.7</v>
      </c>
      <c r="D36" s="7" t="n">
        <v>75.40000000000001</v>
      </c>
      <c r="E36" s="7" t="n">
        <v>5.12</v>
      </c>
      <c r="F36" s="7" t="n">
        <v>6.2</v>
      </c>
      <c r="G36" s="7" t="n">
        <v>49.32</v>
      </c>
      <c r="H36" s="7" t="n">
        <v>1405</v>
      </c>
    </row>
    <row r="37">
      <c r="A37" s="7" t="n">
        <v>36</v>
      </c>
      <c r="B37" s="7" t="inlineStr">
        <is>
          <t>Mexico City</t>
        </is>
      </c>
      <c r="C37" s="7" t="n">
        <v>43.5</v>
      </c>
      <c r="D37" s="7" t="n">
        <v>76.40000000000001</v>
      </c>
      <c r="E37" s="7" t="n">
        <v>6.46</v>
      </c>
      <c r="F37" s="7" t="n">
        <v>28.9</v>
      </c>
      <c r="G37" s="7" t="n">
        <v>82.78</v>
      </c>
      <c r="H37" s="7" t="n">
        <v>2555</v>
      </c>
    </row>
    <row r="38">
      <c r="A38" s="7" t="n">
        <v>37</v>
      </c>
      <c r="B38" s="7" t="inlineStr">
        <is>
          <t>Brussels</t>
        </is>
      </c>
      <c r="C38" s="7" t="n">
        <v>43.4</v>
      </c>
      <c r="D38" s="7" t="n">
        <v>80.40000000000001</v>
      </c>
      <c r="E38" s="7" t="n">
        <v>6.86</v>
      </c>
      <c r="F38" s="7" t="n">
        <v>22.1</v>
      </c>
      <c r="G38" s="7" t="n">
        <v>62.67</v>
      </c>
      <c r="H38" s="7" t="n">
        <v>1546</v>
      </c>
    </row>
    <row r="39">
      <c r="A39" s="7" t="n">
        <v>38</v>
      </c>
      <c r="B39" s="7" t="inlineStr">
        <is>
          <t>Moscow</t>
        </is>
      </c>
      <c r="C39" s="7" t="n">
        <v>42.7</v>
      </c>
      <c r="D39" s="7" t="n">
        <v>69.5</v>
      </c>
      <c r="E39" s="7" t="n">
        <v>5.54</v>
      </c>
      <c r="F39" s="7" t="n">
        <v>23.1</v>
      </c>
      <c r="G39" s="7" t="n">
        <v>57.63</v>
      </c>
      <c r="H39" s="7" t="n">
        <v>1901</v>
      </c>
    </row>
    <row r="40">
      <c r="A40" s="7" t="n">
        <v>39</v>
      </c>
      <c r="B40" s="7" t="inlineStr">
        <is>
          <t>Istanbul</t>
        </is>
      </c>
      <c r="C40" s="7" t="n">
        <v>42.5</v>
      </c>
      <c r="D40" s="7" t="n">
        <v>74.7</v>
      </c>
      <c r="E40" s="7" t="n">
        <v>5.13</v>
      </c>
      <c r="F40" s="7" t="n">
        <v>32.1</v>
      </c>
      <c r="G40" s="7" t="n">
        <v>69.48999999999999</v>
      </c>
      <c r="H40" s="7" t="n">
        <v>2218</v>
      </c>
    </row>
    <row r="41">
      <c r="A41" s="7" t="n">
        <v>40</v>
      </c>
      <c r="B41" s="7" t="inlineStr">
        <is>
          <t>Shanghai</t>
        </is>
      </c>
      <c r="C41" s="7" t="n">
        <v>41.9</v>
      </c>
      <c r="D41" s="7" t="n">
        <v>75.40000000000001</v>
      </c>
      <c r="E41" s="7" t="n">
        <v>5.12</v>
      </c>
      <c r="F41" s="7" t="n">
        <v>6.2</v>
      </c>
      <c r="G41" s="7" t="n">
        <v>77.40000000000001</v>
      </c>
      <c r="H41" s="7" t="n">
        <v>1776</v>
      </c>
    </row>
    <row r="42">
      <c r="A42" s="7" t="n">
        <v>41</v>
      </c>
      <c r="B42" s="7" t="inlineStr">
        <is>
          <t>Sao Paulo</t>
        </is>
      </c>
      <c r="C42" s="7" t="n">
        <v>40.4</v>
      </c>
      <c r="D42" s="7" t="n">
        <v>73.90000000000001</v>
      </c>
      <c r="E42" s="7" t="n">
        <v>6.37</v>
      </c>
      <c r="F42" s="7" t="n">
        <v>22.1</v>
      </c>
      <c r="G42" s="7" t="n">
        <v>79.78</v>
      </c>
      <c r="H42" s="7" t="n">
        <v>2003</v>
      </c>
    </row>
    <row r="43">
      <c r="A43" s="7" t="n">
        <v>42</v>
      </c>
      <c r="B43" s="7" t="inlineStr">
        <is>
          <t>Mumbai</t>
        </is>
      </c>
      <c r="C43" s="7" t="n">
        <v>39.4</v>
      </c>
      <c r="D43" s="7" t="n">
        <v>67.3</v>
      </c>
      <c r="E43" s="7" t="n">
        <v>3.57</v>
      </c>
      <c r="F43" s="7" t="n">
        <v>3.9</v>
      </c>
      <c r="G43" s="7" t="n">
        <v>82.84</v>
      </c>
      <c r="H43" s="7" t="n">
        <v>2584</v>
      </c>
    </row>
    <row r="44">
      <c r="A44" s="7" t="n">
        <v>43</v>
      </c>
      <c r="B44" s="7" t="inlineStr">
        <is>
          <t>Cairo</t>
        </is>
      </c>
      <c r="C44" s="7" t="n">
        <v>38.9</v>
      </c>
      <c r="D44" s="7" t="n">
        <v>70.7</v>
      </c>
      <c r="E44" s="7" t="n">
        <v>4.15</v>
      </c>
      <c r="F44" s="7" t="n">
        <v>32</v>
      </c>
      <c r="G44" s="7" t="n">
        <v>91.73999999999999</v>
      </c>
      <c r="H44" s="7" t="n">
        <v>3542</v>
      </c>
    </row>
    <row r="45">
      <c r="A45" s="7" t="n">
        <v>44</v>
      </c>
      <c r="B45" s="7" t="inlineStr">
        <is>
          <t>Johannesburg</t>
        </is>
      </c>
      <c r="C45" s="7" t="n">
        <v>33.8</v>
      </c>
      <c r="D45" s="7" t="n">
        <v>56.3</v>
      </c>
      <c r="E45" s="7" t="n">
        <v>4.81</v>
      </c>
      <c r="F45" s="7" t="n">
        <v>28.3</v>
      </c>
      <c r="G45" s="7" t="n">
        <v>61.83</v>
      </c>
      <c r="H45" s="7" t="n">
        <v>3124</v>
      </c>
    </row>
  </sheetData>
  <conditionalFormatting sqref="C2:C45">
    <cfRule type="dataBar" priority="1">
      <dataBar>
        <cfvo type="min"/>
        <cfvo type="max"/>
        <color rgb="001F6F5C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2026-08-25T19:14:40Z</dcterms:created>
  <dcterms:modified xsi:type="dcterms:W3CDTF">2026-08-25T19:14:40Z</dcterms:modified>
</cp:coreProperties>
</file>